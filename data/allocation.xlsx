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w Winig\Downloads\"/>
    </mc:Choice>
  </mc:AlternateContent>
  <xr:revisionPtr revIDLastSave="0" documentId="8_{C95E302E-68D0-4776-975A-59D1DBA19A5A}" xr6:coauthVersionLast="47" xr6:coauthVersionMax="47" xr10:uidLastSave="{00000000-0000-0000-0000-000000000000}"/>
  <bookViews>
    <workbookView xWindow="13890" yWindow="-21600" windowWidth="26010" windowHeight="20985" xr2:uid="{EFE5796F-8CAD-4562-BD9A-1BD951C7C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48" i="1"/>
  <c r="B36" i="1"/>
  <c r="D27" i="1" s="1"/>
  <c r="C47" i="1" l="1"/>
  <c r="D43" i="1"/>
  <c r="D44" i="1"/>
  <c r="D46" i="1"/>
  <c r="C42" i="1"/>
  <c r="C44" i="1"/>
  <c r="C46" i="1"/>
  <c r="C41" i="1"/>
  <c r="D42" i="1"/>
  <c r="D41" i="1"/>
  <c r="C43" i="1"/>
  <c r="C45" i="1"/>
  <c r="D45" i="1"/>
  <c r="C53" i="1"/>
  <c r="C52" i="1"/>
  <c r="C54" i="1"/>
  <c r="C26" i="1"/>
  <c r="C31" i="1"/>
  <c r="C27" i="1"/>
  <c r="C30" i="1"/>
  <c r="D26" i="1"/>
  <c r="C29" i="1"/>
  <c r="D34" i="1"/>
  <c r="C28" i="1"/>
  <c r="D33" i="1"/>
  <c r="D31" i="1"/>
  <c r="D32" i="1"/>
  <c r="C35" i="1"/>
  <c r="D30" i="1"/>
  <c r="C34" i="1"/>
  <c r="D29" i="1"/>
  <c r="C33" i="1"/>
  <c r="D28" i="1"/>
  <c r="C32" i="1"/>
  <c r="D36" i="1" l="1"/>
  <c r="C36" i="1"/>
  <c r="C48" i="1"/>
  <c r="D48" i="1"/>
  <c r="C55" i="1" l="1"/>
</calcChain>
</file>

<file path=xl/sharedStrings.xml><?xml version="1.0" encoding="utf-8"?>
<sst xmlns="http://schemas.openxmlformats.org/spreadsheetml/2006/main" count="52" uniqueCount="39">
  <si>
    <t>Payroll Allocation Input (%)</t>
  </si>
  <si>
    <t>LIK</t>
  </si>
  <si>
    <t>Office Works</t>
  </si>
  <si>
    <t>Per Payroll Report</t>
  </si>
  <si>
    <t>JV III</t>
  </si>
  <si>
    <t xml:space="preserve"> NI LLC</t>
  </si>
  <si>
    <t>SC</t>
  </si>
  <si>
    <t>Interstate</t>
  </si>
  <si>
    <t>Middeltown</t>
  </si>
  <si>
    <t>Eastwick</t>
  </si>
  <si>
    <t>Total:</t>
  </si>
  <si>
    <t>Winig, Drew</t>
  </si>
  <si>
    <t xml:space="preserve">Korman Feldman, Alison </t>
  </si>
  <si>
    <t>Borton, Rita</t>
  </si>
  <si>
    <t xml:space="preserve">Campbell-Holley, Lavalle B. </t>
  </si>
  <si>
    <t>Collier, Donna</t>
  </si>
  <si>
    <t xml:space="preserve">Tomlinson, Tami M. </t>
  </si>
  <si>
    <t>Weissman, Susan</t>
  </si>
  <si>
    <t xml:space="preserve">Feldman, Harry I. </t>
  </si>
  <si>
    <t>Jaster, Marie</t>
  </si>
  <si>
    <t>Rovkin, Tatyana</t>
  </si>
  <si>
    <t>Loiseau, Charles</t>
  </si>
  <si>
    <t xml:space="preserve">Fox, Nancy L. </t>
  </si>
  <si>
    <t xml:space="preserve">Masciantonio, Gregory L. </t>
  </si>
  <si>
    <t xml:space="preserve">Gosik, Jason N. </t>
  </si>
  <si>
    <t>Gross - Shopping Center Property Allocation</t>
  </si>
  <si>
    <t>Marketing</t>
  </si>
  <si>
    <t>Property</t>
  </si>
  <si>
    <t>Sq Ft</t>
  </si>
  <si>
    <t>PRS</t>
  </si>
  <si>
    <t xml:space="preserve">NI LLC </t>
  </si>
  <si>
    <t>Building</t>
  </si>
  <si>
    <t>40A0</t>
  </si>
  <si>
    <t>40B0</t>
  </si>
  <si>
    <t>40C0</t>
  </si>
  <si>
    <t>JV IIII</t>
  </si>
  <si>
    <t>Alt PRS</t>
  </si>
  <si>
    <t>Salary REC</t>
  </si>
  <si>
    <t>Salary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</si>
</sst>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0.0%"/>
    <numFmt numFmtId="170" formatCode="_(* #,##0_);_(* \(#,##0\);_(* &quot;-&quot;??_);_(@_)"/>
  </numFmts>
  <fonts count="7" x14ac:knownFonts="1">
    <font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24"/>
      <color theme="1"/>
      <name val="Century Gothic"/>
      <family val="2"/>
    </font>
    <font>
      <b/>
      <sz val="14"/>
      <color theme="1"/>
      <name val="Century Gothic"/>
      <family val="2"/>
    </font>
    <font>
      <i/>
      <sz val="11"/>
      <color theme="1"/>
      <name val="Century Gothic"/>
      <family val="2"/>
    </font>
    <font>
      <sz val="14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1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1" fillId="2" borderId="0" xfId="0" applyFont="1" applyFill="1"/>
    <xf numFmtId="169" fontId="5" fillId="2" borderId="0" xfId="2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9" fontId="1" fillId="3" borderId="0" xfId="2" applyFont="1" applyFill="1" applyAlignment="1">
      <alignment horizontal="center"/>
    </xf>
    <xf numFmtId="9" fontId="2" fillId="2" borderId="0" xfId="2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9" fontId="1" fillId="3" borderId="1" xfId="2" applyFont="1" applyFill="1" applyBorder="1" applyAlignment="1">
      <alignment horizontal="center"/>
    </xf>
    <xf numFmtId="9" fontId="2" fillId="2" borderId="1" xfId="2" applyFont="1" applyFill="1" applyBorder="1" applyAlignment="1">
      <alignment horizontal="center"/>
    </xf>
    <xf numFmtId="0" fontId="1" fillId="2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Border="1"/>
    <xf numFmtId="9" fontId="1" fillId="3" borderId="0" xfId="2" applyFont="1" applyFill="1" applyBorder="1" applyAlignment="1">
      <alignment horizontal="center"/>
    </xf>
    <xf numFmtId="9" fontId="2" fillId="2" borderId="0" xfId="2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/>
    <xf numFmtId="2" fontId="1" fillId="2" borderId="0" xfId="0" applyNumberFormat="1" applyFont="1" applyFill="1" applyAlignment="1">
      <alignment horizontal="centerContinuous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170" fontId="1" fillId="2" borderId="0" xfId="1" applyNumberFormat="1" applyFont="1" applyFill="1"/>
    <xf numFmtId="10" fontId="1" fillId="2" borderId="0" xfId="2" applyNumberFormat="1" applyFont="1" applyFill="1"/>
    <xf numFmtId="170" fontId="1" fillId="2" borderId="1" xfId="1" applyNumberFormat="1" applyFont="1" applyFill="1" applyBorder="1"/>
    <xf numFmtId="10" fontId="1" fillId="2" borderId="1" xfId="2" applyNumberFormat="1" applyFont="1" applyFill="1" applyBorder="1"/>
    <xf numFmtId="10" fontId="1" fillId="4" borderId="1" xfId="2" applyNumberFormat="1" applyFont="1" applyFill="1" applyBorder="1"/>
    <xf numFmtId="0" fontId="2" fillId="2" borderId="0" xfId="0" applyFont="1" applyFill="1" applyAlignment="1">
      <alignment horizontal="center"/>
    </xf>
    <xf numFmtId="170" fontId="2" fillId="2" borderId="0" xfId="1" applyNumberFormat="1" applyFont="1" applyFill="1"/>
    <xf numFmtId="9" fontId="2" fillId="2" borderId="0" xfId="2" applyFont="1" applyFill="1"/>
    <xf numFmtId="0" fontId="4" fillId="2" borderId="0" xfId="0" applyFont="1" applyFill="1" applyAlignment="1">
      <alignment horizontal="center"/>
    </xf>
    <xf numFmtId="170" fontId="1" fillId="2" borderId="2" xfId="1" applyNumberFormat="1" applyFont="1" applyFill="1" applyBorder="1"/>
    <xf numFmtId="170" fontId="1" fillId="2" borderId="0" xfId="1" applyNumberFormat="1" applyFont="1" applyFill="1" applyBorder="1"/>
    <xf numFmtId="10" fontId="1" fillId="2" borderId="0" xfId="2" applyNumberFormat="1" applyFont="1" applyFill="1" applyBorder="1"/>
    <xf numFmtId="0" fontId="6" fillId="2" borderId="1" xfId="0" applyFont="1" applyFill="1" applyBorder="1"/>
    <xf numFmtId="9" fontId="1" fillId="2" borderId="0" xfId="2" applyFont="1" applyFill="1"/>
  </cellXfs>
  <cellStyles count="3">
    <cellStyle name="Comma" xfId="1" builtinId="3"/>
    <cellStyle name="Normal" xfId="0" builtinId="0"/>
    <cellStyle name="Percent" xfId="2" builtinId="5"/>
  </cellStyles>
  <dxfs count="2">
    <dxf>
      <numFmt numFmtId="168" formatCode="&quot;-&quot;"/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7259-9285-4066-A9C0-77C5CDD05F17}">
  <dimension ref="A1:AB68"/>
  <sheetViews>
    <sheetView tabSelected="1" topLeftCell="A9" zoomScale="145" zoomScaleNormal="145" workbookViewId="0">
      <selection activeCell="F38" sqref="F38"/>
    </sheetView>
  </sheetViews>
  <sheetFormatPr defaultColWidth="9.3828125" defaultRowHeight="16" x14ac:dyDescent="0.35"/>
  <cols>
    <col min="1" max="1" width="27" bestFit="1" customWidth="1"/>
    <col min="2" max="2" width="12" bestFit="1" customWidth="1"/>
    <col min="3" max="4" width="13.15234375" bestFit="1" customWidth="1"/>
    <col min="5" max="5" width="9.07421875" bestFit="1" customWidth="1"/>
    <col min="6" max="6" width="14.07421875" bestFit="1" customWidth="1"/>
    <col min="7" max="7" width="11.3828125" bestFit="1" customWidth="1"/>
    <col min="8" max="8" width="10.4609375" bestFit="1" customWidth="1"/>
    <col min="9" max="9" width="13.07421875" bestFit="1" customWidth="1"/>
    <col min="10" max="10" width="9.921875" bestFit="1" customWidth="1"/>
    <col min="11" max="11" width="6.3046875" customWidth="1"/>
    <col min="12" max="12" width="9.921875" bestFit="1" customWidth="1"/>
    <col min="13" max="15" width="7.921875" bestFit="1" customWidth="1"/>
    <col min="16" max="16" width="9.53515625" bestFit="1" customWidth="1"/>
    <col min="17" max="17" width="10.3828125" bestFit="1" customWidth="1"/>
    <col min="18" max="18" width="9.53515625" bestFit="1" customWidth="1"/>
    <col min="20" max="20" width="11.765625" bestFit="1" customWidth="1"/>
    <col min="21" max="21" width="9.07421875" bestFit="1" customWidth="1"/>
    <col min="22" max="24" width="7.921875" bestFit="1" customWidth="1"/>
    <col min="25" max="25" width="9.53515625" bestFit="1" customWidth="1"/>
    <col min="26" max="26" width="10.3828125" bestFit="1" customWidth="1"/>
    <col min="27" max="27" width="9.53515625" bestFit="1" customWidth="1"/>
  </cols>
  <sheetData>
    <row r="1" spans="1:12" ht="29" x14ac:dyDescent="0.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2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x14ac:dyDescent="0.35">
      <c r="A3" s="3"/>
      <c r="B3" s="4"/>
      <c r="C3" s="4"/>
      <c r="D3" s="4"/>
      <c r="E3" s="3"/>
      <c r="F3" s="4"/>
      <c r="G3" s="3"/>
      <c r="H3" s="3"/>
      <c r="I3" s="3"/>
      <c r="J3" s="3"/>
      <c r="K3" s="3"/>
    </row>
    <row r="4" spans="1:12" ht="17.5" x14ac:dyDescent="0.35">
      <c r="A4" s="6" t="s">
        <v>3</v>
      </c>
      <c r="B4" s="5" t="s">
        <v>1</v>
      </c>
      <c r="C4" s="5" t="s">
        <v>4</v>
      </c>
      <c r="D4" s="5" t="s">
        <v>5</v>
      </c>
      <c r="E4" s="5" t="s">
        <v>6</v>
      </c>
      <c r="F4" s="5" t="s">
        <v>2</v>
      </c>
      <c r="G4" s="7" t="s">
        <v>26</v>
      </c>
      <c r="H4" s="7" t="s">
        <v>7</v>
      </c>
      <c r="I4" s="7" t="s">
        <v>8</v>
      </c>
      <c r="J4" s="7" t="s">
        <v>9</v>
      </c>
      <c r="K4" s="7" t="s">
        <v>10</v>
      </c>
      <c r="L4" s="5">
        <v>8502</v>
      </c>
    </row>
    <row r="5" spans="1:12" x14ac:dyDescent="0.35">
      <c r="A5" s="3" t="s">
        <v>11</v>
      </c>
      <c r="B5" s="9">
        <v>0.25</v>
      </c>
      <c r="C5" s="9">
        <v>0.11410000000000002</v>
      </c>
      <c r="D5" s="9">
        <v>0.23590000000000003</v>
      </c>
      <c r="E5" s="9">
        <v>0.35</v>
      </c>
      <c r="F5" s="9">
        <v>0.05</v>
      </c>
      <c r="G5" s="9">
        <v>0</v>
      </c>
      <c r="H5" s="9">
        <v>0</v>
      </c>
      <c r="I5" s="9">
        <v>0</v>
      </c>
      <c r="J5" s="9">
        <v>0</v>
      </c>
      <c r="K5" s="10">
        <v>1</v>
      </c>
      <c r="L5" s="15" t="b">
        <v>0</v>
      </c>
    </row>
    <row r="6" spans="1:12" x14ac:dyDescent="0.35">
      <c r="A6" s="3" t="s">
        <v>12</v>
      </c>
      <c r="B6" s="9">
        <v>0.6</v>
      </c>
      <c r="C6" s="9">
        <v>2.582059900163091E-2</v>
      </c>
      <c r="D6" s="9">
        <v>5.3383692414414832E-2</v>
      </c>
      <c r="E6" s="9">
        <v>7.9204291416045625E-2</v>
      </c>
      <c r="F6" s="9">
        <v>0</v>
      </c>
      <c r="G6" s="9">
        <v>0.24159141716790872</v>
      </c>
      <c r="H6" s="9">
        <v>0</v>
      </c>
      <c r="I6" s="9">
        <v>0</v>
      </c>
      <c r="J6" s="9">
        <v>0</v>
      </c>
      <c r="K6" s="10">
        <v>1.0000000000000002</v>
      </c>
      <c r="L6" s="15" t="b">
        <v>0</v>
      </c>
    </row>
    <row r="7" spans="1:12" x14ac:dyDescent="0.35">
      <c r="A7" s="3" t="s">
        <v>13</v>
      </c>
      <c r="B7" s="9">
        <v>0</v>
      </c>
      <c r="C7" s="9">
        <v>0</v>
      </c>
      <c r="D7" s="9">
        <v>0</v>
      </c>
      <c r="E7" s="9">
        <v>0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10">
        <v>1</v>
      </c>
      <c r="L7" s="15" t="b">
        <v>0</v>
      </c>
    </row>
    <row r="8" spans="1:12" x14ac:dyDescent="0.35">
      <c r="A8" s="3" t="s">
        <v>14</v>
      </c>
      <c r="B8" s="9">
        <v>0</v>
      </c>
      <c r="C8" s="9">
        <v>0</v>
      </c>
      <c r="D8" s="9">
        <v>0</v>
      </c>
      <c r="E8" s="9">
        <v>0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10">
        <v>1</v>
      </c>
      <c r="L8" s="15" t="b">
        <v>0</v>
      </c>
    </row>
    <row r="9" spans="1:12" x14ac:dyDescent="0.35">
      <c r="A9" s="3" t="s">
        <v>15</v>
      </c>
      <c r="B9" s="9">
        <v>0</v>
      </c>
      <c r="C9" s="9">
        <v>0</v>
      </c>
      <c r="D9" s="9">
        <v>0</v>
      </c>
      <c r="E9" s="9">
        <v>0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10">
        <v>1</v>
      </c>
      <c r="L9" s="15" t="b">
        <v>0</v>
      </c>
    </row>
    <row r="10" spans="1:12" x14ac:dyDescent="0.35">
      <c r="A10" s="3" t="s">
        <v>16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0</v>
      </c>
      <c r="H10" s="9">
        <v>0</v>
      </c>
      <c r="I10" s="9">
        <v>0</v>
      </c>
      <c r="J10" s="9">
        <v>0</v>
      </c>
      <c r="K10" s="10">
        <v>1</v>
      </c>
      <c r="L10" s="15" t="b">
        <v>0</v>
      </c>
    </row>
    <row r="11" spans="1:12" x14ac:dyDescent="0.35">
      <c r="A11" s="3" t="s">
        <v>17</v>
      </c>
      <c r="B11" s="9">
        <v>0</v>
      </c>
      <c r="C11" s="9">
        <v>0</v>
      </c>
      <c r="D11" s="9">
        <v>0</v>
      </c>
      <c r="E11" s="9">
        <v>0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10">
        <v>1</v>
      </c>
      <c r="L11" s="15" t="b">
        <v>0</v>
      </c>
    </row>
    <row r="12" spans="1:12" x14ac:dyDescent="0.35">
      <c r="A12" s="3" t="s">
        <v>18</v>
      </c>
      <c r="B12" s="9">
        <v>0</v>
      </c>
      <c r="C12" s="9">
        <v>0</v>
      </c>
      <c r="D12" s="9">
        <v>0</v>
      </c>
      <c r="E12" s="9">
        <v>0.8458971458869281</v>
      </c>
      <c r="F12" s="9">
        <v>0</v>
      </c>
      <c r="G12" s="9">
        <v>0</v>
      </c>
      <c r="H12" s="9">
        <v>5.1367618037690584E-2</v>
      </c>
      <c r="I12" s="9">
        <v>5.1367618037690584E-2</v>
      </c>
      <c r="J12" s="9">
        <v>5.1367618037690584E-2</v>
      </c>
      <c r="K12" s="10">
        <v>1</v>
      </c>
      <c r="L12" s="15" t="b">
        <v>0</v>
      </c>
    </row>
    <row r="13" spans="1:12" x14ac:dyDescent="0.35">
      <c r="A13" s="3" t="s">
        <v>19</v>
      </c>
      <c r="B13" s="9">
        <v>0</v>
      </c>
      <c r="C13" s="9">
        <v>0.16300000000000001</v>
      </c>
      <c r="D13" s="9">
        <v>0.33700000000000002</v>
      </c>
      <c r="E13" s="9">
        <v>0.5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10">
        <v>1</v>
      </c>
      <c r="L13" s="15" t="b">
        <v>0</v>
      </c>
    </row>
    <row r="14" spans="1:12" x14ac:dyDescent="0.35">
      <c r="A14" s="3" t="s">
        <v>20</v>
      </c>
      <c r="B14" s="9">
        <v>0</v>
      </c>
      <c r="C14" s="9">
        <v>0.16300000000000001</v>
      </c>
      <c r="D14" s="9">
        <v>0.33700000000000002</v>
      </c>
      <c r="E14" s="9">
        <v>0.5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10">
        <v>1</v>
      </c>
      <c r="L14" s="15" t="b">
        <v>0</v>
      </c>
    </row>
    <row r="15" spans="1:12" x14ac:dyDescent="0.35">
      <c r="A15" s="3" t="s">
        <v>21</v>
      </c>
      <c r="B15" s="9">
        <v>0</v>
      </c>
      <c r="C15" s="9">
        <v>0.16300000000000001</v>
      </c>
      <c r="D15" s="9">
        <v>0.33700000000000002</v>
      </c>
      <c r="E15" s="9">
        <v>0.5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10">
        <v>1</v>
      </c>
      <c r="L15" s="15" t="b">
        <v>1</v>
      </c>
    </row>
    <row r="16" spans="1:12" x14ac:dyDescent="0.35">
      <c r="A16" s="3" t="s">
        <v>22</v>
      </c>
      <c r="B16" s="9">
        <v>0</v>
      </c>
      <c r="C16" s="9">
        <v>0.29339999999999999</v>
      </c>
      <c r="D16" s="9">
        <v>0.60660000000000003</v>
      </c>
      <c r="E16" s="9">
        <v>0</v>
      </c>
      <c r="F16" s="9">
        <v>0.1</v>
      </c>
      <c r="G16" s="9">
        <v>0</v>
      </c>
      <c r="H16" s="9">
        <v>0</v>
      </c>
      <c r="I16" s="9">
        <v>0</v>
      </c>
      <c r="J16" s="9">
        <v>0</v>
      </c>
      <c r="K16" s="10">
        <v>1</v>
      </c>
      <c r="L16" s="15" t="b">
        <v>0</v>
      </c>
    </row>
    <row r="17" spans="1:12" x14ac:dyDescent="0.35">
      <c r="A17" s="17" t="s">
        <v>23</v>
      </c>
      <c r="B17" s="18">
        <v>0</v>
      </c>
      <c r="C17" s="18">
        <v>0.21190000000000001</v>
      </c>
      <c r="D17" s="18">
        <v>0.43810000000000004</v>
      </c>
      <c r="E17" s="18">
        <v>0.35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1</v>
      </c>
      <c r="L17" s="20" t="b">
        <v>1</v>
      </c>
    </row>
    <row r="18" spans="1:12" x14ac:dyDescent="0.35">
      <c r="A18" s="21" t="s">
        <v>24</v>
      </c>
      <c r="B18" s="13">
        <v>0</v>
      </c>
      <c r="C18" s="13">
        <v>0.16300000000000001</v>
      </c>
      <c r="D18" s="13">
        <v>0.33700000000000002</v>
      </c>
      <c r="E18" s="13">
        <v>0.5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6" t="b">
        <v>1</v>
      </c>
    </row>
    <row r="22" spans="1:12" ht="29" x14ac:dyDescent="0.5">
      <c r="A22" s="2" t="s">
        <v>25</v>
      </c>
      <c r="B22" s="1"/>
      <c r="C22" s="1"/>
      <c r="D22" s="1"/>
      <c r="E22" s="1"/>
      <c r="F22" s="1"/>
      <c r="G22" s="1"/>
      <c r="H22" s="22"/>
      <c r="I22" s="22"/>
    </row>
    <row r="23" spans="1:12" x14ac:dyDescent="0.35">
      <c r="A23" s="3"/>
      <c r="B23" s="3"/>
      <c r="C23" s="3"/>
      <c r="D23" s="3"/>
      <c r="E23" s="3"/>
      <c r="F23" s="3"/>
      <c r="G23" s="3"/>
      <c r="H23" s="3"/>
      <c r="I23" s="3"/>
    </row>
    <row r="24" spans="1:12" ht="18" x14ac:dyDescent="0.35">
      <c r="A24" s="35" t="s">
        <v>6</v>
      </c>
      <c r="B24" s="23"/>
      <c r="C24" s="24" t="s">
        <v>37</v>
      </c>
      <c r="D24" s="24" t="s">
        <v>38</v>
      </c>
    </row>
    <row r="25" spans="1:12" ht="18" x14ac:dyDescent="0.35">
      <c r="A25" s="25" t="s">
        <v>27</v>
      </c>
      <c r="B25" s="25" t="s">
        <v>28</v>
      </c>
      <c r="C25" s="26" t="s">
        <v>29</v>
      </c>
      <c r="D25" s="26" t="s">
        <v>36</v>
      </c>
    </row>
    <row r="26" spans="1:12" x14ac:dyDescent="0.35">
      <c r="A26" s="8">
        <v>1100</v>
      </c>
      <c r="B26" s="27">
        <v>8287</v>
      </c>
      <c r="C26" s="28">
        <f>B26/$B$36</f>
        <v>2.7922382045035665E-2</v>
      </c>
      <c r="D26" s="28">
        <f>B26/($B$36-$B$35)</f>
        <v>2.9938151182786376E-2</v>
      </c>
    </row>
    <row r="27" spans="1:12" x14ac:dyDescent="0.35">
      <c r="A27" s="8">
        <v>1500</v>
      </c>
      <c r="B27" s="27">
        <v>2280</v>
      </c>
      <c r="C27" s="28">
        <f t="shared" ref="C27:C35" si="0">B27/$B$36</f>
        <v>7.6822771886908793E-3</v>
      </c>
      <c r="D27" s="28">
        <f t="shared" ref="D27:D34" si="1">B27/($B$36-$B$35)</f>
        <v>8.2368751896648891E-3</v>
      </c>
    </row>
    <row r="28" spans="1:12" x14ac:dyDescent="0.35">
      <c r="A28" s="8">
        <v>2300</v>
      </c>
      <c r="B28" s="27">
        <v>61572</v>
      </c>
      <c r="C28" s="28">
        <f t="shared" si="0"/>
        <v>0.20746191713248896</v>
      </c>
      <c r="D28" s="28">
        <f t="shared" si="1"/>
        <v>0.22243898209563445</v>
      </c>
    </row>
    <row r="29" spans="1:12" x14ac:dyDescent="0.35">
      <c r="A29" s="8">
        <v>4500</v>
      </c>
      <c r="B29" s="27">
        <v>82809</v>
      </c>
      <c r="C29" s="28">
        <f t="shared" si="0"/>
        <v>0.27901828584136096</v>
      </c>
      <c r="D29" s="28">
        <f t="shared" si="1"/>
        <v>0.29916113928989463</v>
      </c>
    </row>
    <row r="30" spans="1:12" x14ac:dyDescent="0.35">
      <c r="A30" s="8">
        <v>5600</v>
      </c>
      <c r="B30" s="27">
        <v>1326</v>
      </c>
      <c r="C30" s="28">
        <f t="shared" si="0"/>
        <v>4.4678506807912747E-3</v>
      </c>
      <c r="D30" s="28">
        <f t="shared" si="1"/>
        <v>4.7903932024103701E-3</v>
      </c>
    </row>
    <row r="31" spans="1:12" x14ac:dyDescent="0.35">
      <c r="A31" s="8">
        <v>7010</v>
      </c>
      <c r="B31" s="27">
        <v>73209</v>
      </c>
      <c r="C31" s="28">
        <f t="shared" si="0"/>
        <v>0.24667185557318885</v>
      </c>
      <c r="D31" s="28">
        <f t="shared" si="1"/>
        <v>0.2644795595439372</v>
      </c>
    </row>
    <row r="32" spans="1:12" x14ac:dyDescent="0.35">
      <c r="A32" s="8">
        <v>7200</v>
      </c>
      <c r="B32" s="27">
        <v>14821</v>
      </c>
      <c r="C32" s="28">
        <f t="shared" si="0"/>
        <v>4.9938171146310315E-2</v>
      </c>
      <c r="D32" s="28">
        <f t="shared" si="1"/>
        <v>5.3543301397378652E-2</v>
      </c>
    </row>
    <row r="33" spans="1:4" x14ac:dyDescent="0.35">
      <c r="A33" s="8">
        <v>7300</v>
      </c>
      <c r="B33" s="27">
        <v>22500</v>
      </c>
      <c r="C33" s="28">
        <f t="shared" si="0"/>
        <v>7.5811945941028414E-2</v>
      </c>
      <c r="D33" s="28">
        <f t="shared" si="1"/>
        <v>8.1284952529587728E-2</v>
      </c>
    </row>
    <row r="34" spans="1:4" x14ac:dyDescent="0.35">
      <c r="A34" s="8">
        <v>8200</v>
      </c>
      <c r="B34" s="27">
        <v>10000</v>
      </c>
      <c r="C34" s="28">
        <f t="shared" si="0"/>
        <v>3.3694198196012631E-2</v>
      </c>
      <c r="D34" s="28">
        <f t="shared" si="1"/>
        <v>3.6126645568705658E-2</v>
      </c>
    </row>
    <row r="35" spans="1:4" x14ac:dyDescent="0.35">
      <c r="A35" s="12">
        <v>9510</v>
      </c>
      <c r="B35" s="29">
        <v>19983</v>
      </c>
      <c r="C35" s="30">
        <f t="shared" si="0"/>
        <v>6.7331116255092041E-2</v>
      </c>
      <c r="D35" s="31">
        <v>0</v>
      </c>
    </row>
    <row r="36" spans="1:4" x14ac:dyDescent="0.35">
      <c r="A36" s="32"/>
      <c r="B36" s="33">
        <f>SUM(B26:B35)</f>
        <v>296787</v>
      </c>
      <c r="C36" s="34">
        <f>SUM(C26:C35)</f>
        <v>0.99999999999999978</v>
      </c>
      <c r="D36" s="34">
        <f>SUM(D26:D35)</f>
        <v>1</v>
      </c>
    </row>
    <row r="37" spans="1:4" x14ac:dyDescent="0.35">
      <c r="A37" s="11"/>
      <c r="B37" s="27"/>
      <c r="C37" s="28"/>
      <c r="D37" s="3"/>
    </row>
    <row r="38" spans="1:4" x14ac:dyDescent="0.35">
      <c r="A38" s="3"/>
      <c r="B38" s="3"/>
      <c r="C38" s="3"/>
      <c r="D38" s="3"/>
    </row>
    <row r="39" spans="1:4" ht="18" x14ac:dyDescent="0.35">
      <c r="A39" s="35" t="s">
        <v>30</v>
      </c>
      <c r="B39" s="23"/>
      <c r="C39" s="24" t="s">
        <v>38</v>
      </c>
      <c r="D39" s="24" t="s">
        <v>37</v>
      </c>
    </row>
    <row r="40" spans="1:4" ht="18" x14ac:dyDescent="0.35">
      <c r="A40" s="25" t="s">
        <v>31</v>
      </c>
      <c r="B40" s="25" t="s">
        <v>28</v>
      </c>
      <c r="C40" s="26" t="s">
        <v>29</v>
      </c>
      <c r="D40" s="26" t="s">
        <v>29</v>
      </c>
    </row>
    <row r="41" spans="1:4" x14ac:dyDescent="0.35">
      <c r="A41" s="8">
        <v>4050</v>
      </c>
      <c r="B41" s="36">
        <v>54008</v>
      </c>
      <c r="C41" s="38">
        <f>B41/$B$48</f>
        <v>0.13593244654744976</v>
      </c>
      <c r="D41" s="38">
        <f>B41/($B$48-$B$47)</f>
        <v>0.14238297984524736</v>
      </c>
    </row>
    <row r="42" spans="1:4" x14ac:dyDescent="0.35">
      <c r="A42" s="8">
        <v>4060</v>
      </c>
      <c r="B42" s="37">
        <v>107890</v>
      </c>
      <c r="C42" s="38">
        <f t="shared" ref="C42:C47" si="2">B42/$B$48</f>
        <v>0.27154776436832234</v>
      </c>
      <c r="D42" s="38">
        <f t="shared" ref="D42:D46" si="3">B42/($B$48-$B$47)</f>
        <v>0.28443378194903973</v>
      </c>
    </row>
    <row r="43" spans="1:4" x14ac:dyDescent="0.35">
      <c r="A43" s="8">
        <v>4070</v>
      </c>
      <c r="B43" s="37">
        <v>61508</v>
      </c>
      <c r="C43" s="38">
        <f t="shared" si="2"/>
        <v>0.15480915646275625</v>
      </c>
      <c r="D43" s="38">
        <f t="shared" si="3"/>
        <v>0.16215546445566351</v>
      </c>
    </row>
    <row r="44" spans="1:4" x14ac:dyDescent="0.35">
      <c r="A44" s="8">
        <v>4080</v>
      </c>
      <c r="B44" s="37">
        <v>127848</v>
      </c>
      <c r="C44" s="38">
        <f t="shared" si="2"/>
        <v>0.32177994790028064</v>
      </c>
      <c r="D44" s="38">
        <f t="shared" si="3"/>
        <v>0.33704968166299776</v>
      </c>
    </row>
    <row r="45" spans="1:4" x14ac:dyDescent="0.35">
      <c r="A45" s="8" t="s">
        <v>32</v>
      </c>
      <c r="B45" s="37">
        <v>15083</v>
      </c>
      <c r="C45" s="38">
        <f t="shared" si="2"/>
        <v>3.7962322087009046E-2</v>
      </c>
      <c r="D45" s="38">
        <f t="shared" si="3"/>
        <v>3.9763784717187563E-2</v>
      </c>
    </row>
    <row r="46" spans="1:4" x14ac:dyDescent="0.35">
      <c r="A46" s="8" t="s">
        <v>33</v>
      </c>
      <c r="B46" s="37">
        <v>12978</v>
      </c>
      <c r="C46" s="38">
        <f t="shared" si="2"/>
        <v>3.2664258837446357E-2</v>
      </c>
      <c r="D46" s="38">
        <f t="shared" si="3"/>
        <v>3.4214307369864097E-2</v>
      </c>
    </row>
    <row r="47" spans="1:4" x14ac:dyDescent="0.35">
      <c r="A47" s="12" t="s">
        <v>34</v>
      </c>
      <c r="B47" s="29">
        <v>18000</v>
      </c>
      <c r="C47" s="30">
        <f t="shared" si="2"/>
        <v>4.5304103796735586E-2</v>
      </c>
      <c r="D47" s="31">
        <v>0</v>
      </c>
    </row>
    <row r="48" spans="1:4" x14ac:dyDescent="0.35">
      <c r="A48" s="8"/>
      <c r="B48" s="33">
        <f>SUM(B41:B47)</f>
        <v>397315</v>
      </c>
      <c r="C48" s="34">
        <f>SUM(C41:C47)</f>
        <v>1</v>
      </c>
      <c r="D48" s="34">
        <f>SUM(D41:D47)</f>
        <v>1</v>
      </c>
    </row>
    <row r="49" spans="1:9" x14ac:dyDescent="0.35">
      <c r="A49" s="3"/>
      <c r="B49" s="3"/>
      <c r="C49" s="3"/>
      <c r="D49" s="3"/>
    </row>
    <row r="50" spans="1:9" ht="18" x14ac:dyDescent="0.35">
      <c r="A50" s="35" t="s">
        <v>4</v>
      </c>
      <c r="B50" s="23"/>
      <c r="C50" s="24"/>
    </row>
    <row r="51" spans="1:9" ht="18" x14ac:dyDescent="0.35">
      <c r="A51" s="25" t="s">
        <v>31</v>
      </c>
      <c r="B51" s="25" t="s">
        <v>28</v>
      </c>
      <c r="C51" s="26" t="s">
        <v>29</v>
      </c>
    </row>
    <row r="52" spans="1:9" x14ac:dyDescent="0.35">
      <c r="A52" s="8">
        <v>3610</v>
      </c>
      <c r="B52" s="36">
        <v>41821</v>
      </c>
      <c r="C52" s="38">
        <f>B52/$B$55</f>
        <v>0.29950227378522576</v>
      </c>
    </row>
    <row r="53" spans="1:9" x14ac:dyDescent="0.35">
      <c r="A53" s="8">
        <v>3620</v>
      </c>
      <c r="B53" s="37">
        <v>49020</v>
      </c>
      <c r="C53" s="38">
        <f t="shared" ref="C53:C54" si="4">B53/$B$55</f>
        <v>0.35105811580191215</v>
      </c>
    </row>
    <row r="54" spans="1:9" x14ac:dyDescent="0.35">
      <c r="A54" s="12">
        <v>3640</v>
      </c>
      <c r="B54" s="29">
        <v>48794</v>
      </c>
      <c r="C54" s="30">
        <f t="shared" si="4"/>
        <v>0.34943961041286209</v>
      </c>
    </row>
    <row r="55" spans="1:9" x14ac:dyDescent="0.35">
      <c r="A55" s="8"/>
      <c r="B55" s="33">
        <f t="shared" ref="B55:C55" si="5">SUM(B52:B54)</f>
        <v>139635</v>
      </c>
      <c r="C55" s="34">
        <f t="shared" si="5"/>
        <v>1</v>
      </c>
    </row>
    <row r="56" spans="1:9" x14ac:dyDescent="0.35">
      <c r="A56" s="8"/>
      <c r="B56" s="33"/>
      <c r="C56" s="34"/>
    </row>
    <row r="57" spans="1:9" ht="18" x14ac:dyDescent="0.35">
      <c r="A57" s="39" t="s">
        <v>26</v>
      </c>
      <c r="B57" s="21"/>
      <c r="C57" s="21"/>
      <c r="D57" s="21"/>
      <c r="E57" s="21"/>
      <c r="F57" s="21"/>
    </row>
    <row r="58" spans="1:9" x14ac:dyDescent="0.35">
      <c r="A58" s="3" t="s">
        <v>6</v>
      </c>
      <c r="B58" s="40">
        <v>0.46300000000000002</v>
      </c>
      <c r="C58" s="3"/>
      <c r="D58" s="3"/>
      <c r="E58" s="3"/>
    </row>
    <row r="59" spans="1:9" x14ac:dyDescent="0.35">
      <c r="A59" s="3" t="s">
        <v>30</v>
      </c>
      <c r="B59" s="40">
        <v>0.33700000000000002</v>
      </c>
      <c r="C59" s="3"/>
      <c r="D59" s="3"/>
      <c r="E59" s="3"/>
    </row>
    <row r="60" spans="1:9" x14ac:dyDescent="0.35">
      <c r="A60" s="3" t="s">
        <v>35</v>
      </c>
      <c r="B60" s="40">
        <v>0.2</v>
      </c>
      <c r="C60" s="3"/>
      <c r="D60" s="3"/>
      <c r="E60" s="3"/>
    </row>
    <row r="61" spans="1:9" x14ac:dyDescent="0.35">
      <c r="A61" s="3"/>
      <c r="B61" s="3"/>
      <c r="C61" s="3"/>
      <c r="D61" s="3"/>
      <c r="E61" s="3"/>
      <c r="F61" s="3"/>
    </row>
    <row r="62" spans="1:9" x14ac:dyDescent="0.35">
      <c r="A62" s="3"/>
      <c r="B62" s="3"/>
      <c r="C62" s="3"/>
      <c r="D62" s="3"/>
      <c r="E62" s="3"/>
      <c r="F62" s="3"/>
    </row>
    <row r="63" spans="1:9" x14ac:dyDescent="0.3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35">
      <c r="A64" s="3"/>
      <c r="B64" s="3"/>
      <c r="C64" s="3"/>
      <c r="D64" s="3"/>
      <c r="E64" s="3"/>
      <c r="F64" s="3"/>
      <c r="G64" s="3"/>
      <c r="H64" s="3"/>
      <c r="I64" s="3"/>
    </row>
    <row r="65" spans="1:28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</sheetData>
  <conditionalFormatting sqref="A5:A18">
    <cfRule type="cellIs" dxfId="1" priority="2" operator="equal">
      <formula>0</formula>
    </cfRule>
  </conditionalFormatting>
  <conditionalFormatting sqref="B5:K18"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Winig</dc:creator>
  <cp:lastModifiedBy>Drew Winig</cp:lastModifiedBy>
  <dcterms:created xsi:type="dcterms:W3CDTF">2026-02-26T14:09:17Z</dcterms:created>
  <dcterms:modified xsi:type="dcterms:W3CDTF">2026-02-26T14:29:51Z</dcterms:modified>
</cp:coreProperties>
</file>