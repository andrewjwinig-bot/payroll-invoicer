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LIK Management/Payroll/"/>
    </mc:Choice>
  </mc:AlternateContent>
  <xr:revisionPtr revIDLastSave="109" documentId="8_{5BBF061F-B3B4-4163-9382-F93FD66A9311}" xr6:coauthVersionLast="47" xr6:coauthVersionMax="47" xr10:uidLastSave="{39446FEC-6C79-4C94-B507-A1B656898D39}"/>
  <bookViews>
    <workbookView xWindow="-11910" yWindow="-21600" windowWidth="26010" windowHeight="20985" xr2:uid="{EFE5796F-8CAD-4562-BD9A-1BD951C7C3AC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2" l="1" a="1"/>
  <c r="B69" i="2" s="1"/>
  <c r="Y13" i="2"/>
  <c r="Y3" i="2"/>
  <c r="Y4" i="2"/>
  <c r="Y5" i="2"/>
  <c r="Y6" i="2"/>
  <c r="Y7" i="2"/>
  <c r="Y8" i="2"/>
  <c r="Y9" i="2"/>
  <c r="Y10" i="2"/>
  <c r="Y11" i="2"/>
  <c r="Y2" i="2"/>
  <c r="O15" i="2"/>
  <c r="O14" i="2"/>
  <c r="O12" i="2"/>
  <c r="E52" i="2"/>
  <c r="F51" i="2" s="1"/>
  <c r="H7" i="2" s="1"/>
  <c r="E45" i="2"/>
  <c r="F44" i="2" s="1"/>
  <c r="O8" i="2" s="1"/>
  <c r="E33" i="2"/>
  <c r="F31" i="2" s="1"/>
  <c r="X15" i="2" s="1"/>
  <c r="G26" i="2"/>
  <c r="S6" i="2" s="1"/>
  <c r="F25" i="2" l="1"/>
  <c r="R14" i="2" s="1"/>
  <c r="R12" i="2"/>
  <c r="X14" i="2"/>
  <c r="X12" i="2"/>
  <c r="R15" i="2"/>
  <c r="S7" i="2"/>
  <c r="S13" i="2"/>
  <c r="S8" i="2"/>
  <c r="S5" i="2"/>
  <c r="S2" i="2"/>
  <c r="S4" i="2"/>
  <c r="S11" i="2"/>
  <c r="S3" i="2"/>
  <c r="S10" i="2"/>
  <c r="S9" i="2"/>
  <c r="F27" i="2"/>
  <c r="O3" i="2"/>
  <c r="O5" i="2"/>
  <c r="G27" i="2"/>
  <c r="O7" i="2"/>
  <c r="O6" i="2"/>
  <c r="O4" i="2"/>
  <c r="O2" i="2"/>
  <c r="O11" i="2"/>
  <c r="O10" i="2"/>
  <c r="O13" i="2"/>
  <c r="O9" i="2"/>
  <c r="G31" i="2"/>
  <c r="G24" i="2"/>
  <c r="H15" i="2"/>
  <c r="H10" i="2"/>
  <c r="H14" i="2"/>
  <c r="H12" i="2"/>
  <c r="H9" i="2"/>
  <c r="H6" i="2"/>
  <c r="F32" i="2"/>
  <c r="H4" i="2"/>
  <c r="H2" i="2"/>
  <c r="H13" i="2"/>
  <c r="H11" i="2"/>
  <c r="H8" i="2"/>
  <c r="H3" i="2"/>
  <c r="G25" i="2"/>
  <c r="F26" i="2"/>
  <c r="H5" i="2"/>
  <c r="F49" i="2"/>
  <c r="F50" i="2"/>
  <c r="G41" i="2"/>
  <c r="F38" i="2"/>
  <c r="G38" i="2"/>
  <c r="F28" i="2"/>
  <c r="F39" i="2"/>
  <c r="G28" i="2"/>
  <c r="G39" i="2"/>
  <c r="F29" i="2"/>
  <c r="F40" i="2"/>
  <c r="G29" i="2"/>
  <c r="G40" i="2"/>
  <c r="F23" i="2"/>
  <c r="F30" i="2"/>
  <c r="F41" i="2"/>
  <c r="G23" i="2"/>
  <c r="P13" i="2" s="1"/>
  <c r="G30" i="2"/>
  <c r="F24" i="2"/>
  <c r="F42" i="2"/>
  <c r="G42" i="2"/>
  <c r="F43" i="2"/>
  <c r="G43" i="2"/>
  <c r="G14" i="2" l="1"/>
  <c r="G5" i="2"/>
  <c r="F14" i="2"/>
  <c r="F5" i="2"/>
  <c r="P12" i="2"/>
  <c r="P14" i="2"/>
  <c r="P15" i="2"/>
  <c r="S14" i="2"/>
  <c r="S15" i="2"/>
  <c r="S12" i="2"/>
  <c r="T14" i="2"/>
  <c r="T15" i="2"/>
  <c r="T12" i="2"/>
  <c r="V15" i="2"/>
  <c r="V12" i="2"/>
  <c r="V14" i="2"/>
  <c r="U14" i="2"/>
  <c r="U15" i="2"/>
  <c r="U12" i="2"/>
  <c r="Q12" i="2"/>
  <c r="Q14" i="2"/>
  <c r="Q15" i="2"/>
  <c r="Y15" i="2"/>
  <c r="Y12" i="2"/>
  <c r="Y14" i="2"/>
  <c r="W15" i="2"/>
  <c r="W12" i="2"/>
  <c r="W14" i="2"/>
  <c r="V7" i="2"/>
  <c r="V3" i="2"/>
  <c r="V10" i="2"/>
  <c r="V13" i="2"/>
  <c r="V6" i="2"/>
  <c r="V2" i="2"/>
  <c r="V9" i="2"/>
  <c r="V5" i="2"/>
  <c r="V8" i="2"/>
  <c r="V4" i="2"/>
  <c r="V11" i="2"/>
  <c r="R6" i="2"/>
  <c r="R9" i="2"/>
  <c r="R5" i="2"/>
  <c r="R8" i="2"/>
  <c r="R13" i="2"/>
  <c r="R4" i="2"/>
  <c r="R11" i="2"/>
  <c r="R2" i="2"/>
  <c r="R7" i="2"/>
  <c r="R3" i="2"/>
  <c r="R10" i="2"/>
  <c r="Q9" i="2"/>
  <c r="Q5" i="2"/>
  <c r="Q8" i="2"/>
  <c r="Q4" i="2"/>
  <c r="Q11" i="2"/>
  <c r="Q13" i="2"/>
  <c r="Q7" i="2"/>
  <c r="Q2" i="2"/>
  <c r="Q3" i="2"/>
  <c r="Q10" i="2"/>
  <c r="Q6" i="2"/>
  <c r="X13" i="2"/>
  <c r="X4" i="2"/>
  <c r="X11" i="2"/>
  <c r="X7" i="2"/>
  <c r="X2" i="2"/>
  <c r="X3" i="2"/>
  <c r="X10" i="2"/>
  <c r="X6" i="2"/>
  <c r="X5" i="2"/>
  <c r="X8" i="2"/>
  <c r="X9" i="2"/>
  <c r="U3" i="2"/>
  <c r="U10" i="2"/>
  <c r="U6" i="2"/>
  <c r="U13" i="2"/>
  <c r="U9" i="2"/>
  <c r="U2" i="2"/>
  <c r="U5" i="2"/>
  <c r="U8" i="2"/>
  <c r="U4" i="2"/>
  <c r="U11" i="2"/>
  <c r="U7" i="2"/>
  <c r="W7" i="2"/>
  <c r="W13" i="2"/>
  <c r="W3" i="2"/>
  <c r="W10" i="2"/>
  <c r="W2" i="2"/>
  <c r="W6" i="2"/>
  <c r="W9" i="2"/>
  <c r="W5" i="2"/>
  <c r="W8" i="2"/>
  <c r="W11" i="2"/>
  <c r="W4" i="2"/>
  <c r="P9" i="2"/>
  <c r="P5" i="2"/>
  <c r="P8" i="2"/>
  <c r="P4" i="2"/>
  <c r="P11" i="2"/>
  <c r="P7" i="2"/>
  <c r="P3" i="2"/>
  <c r="P10" i="2"/>
  <c r="P2" i="2"/>
  <c r="P6" i="2"/>
  <c r="T3" i="2"/>
  <c r="T10" i="2"/>
  <c r="T6" i="2"/>
  <c r="T9" i="2"/>
  <c r="T13" i="2"/>
  <c r="T5" i="2"/>
  <c r="T2" i="2"/>
  <c r="T8" i="2"/>
  <c r="T4" i="2"/>
  <c r="T11" i="2"/>
  <c r="T7" i="2"/>
  <c r="K4" i="2"/>
  <c r="K6" i="2"/>
  <c r="K8" i="2"/>
  <c r="K10" i="2"/>
  <c r="K13" i="2"/>
  <c r="K3" i="2"/>
  <c r="K5" i="2"/>
  <c r="K7" i="2"/>
  <c r="K9" i="2"/>
  <c r="K11" i="2"/>
  <c r="K2" i="2"/>
  <c r="N15" i="2"/>
  <c r="N14" i="2"/>
  <c r="N12" i="2"/>
  <c r="J15" i="2"/>
  <c r="J14" i="2"/>
  <c r="J12" i="2"/>
  <c r="N2" i="2"/>
  <c r="N5" i="2"/>
  <c r="N7" i="2"/>
  <c r="N11" i="2"/>
  <c r="N4" i="2"/>
  <c r="N6" i="2"/>
  <c r="N8" i="2"/>
  <c r="N10" i="2"/>
  <c r="N13" i="2"/>
  <c r="N3" i="2"/>
  <c r="N9" i="2"/>
  <c r="M15" i="2"/>
  <c r="M14" i="2"/>
  <c r="M12" i="2"/>
  <c r="J4" i="2"/>
  <c r="J6" i="2"/>
  <c r="J8" i="2"/>
  <c r="J10" i="2"/>
  <c r="J13" i="2"/>
  <c r="J5" i="2"/>
  <c r="J7" i="2"/>
  <c r="J9" i="2"/>
  <c r="J11" i="2"/>
  <c r="J2" i="2"/>
  <c r="J3" i="2"/>
  <c r="I15" i="2"/>
  <c r="I14" i="2"/>
  <c r="I12" i="2"/>
  <c r="I4" i="2"/>
  <c r="I6" i="2"/>
  <c r="I8" i="2"/>
  <c r="I10" i="2"/>
  <c r="I13" i="2"/>
  <c r="I3" i="2"/>
  <c r="I5" i="2"/>
  <c r="I9" i="2"/>
  <c r="I11" i="2"/>
  <c r="I2" i="2"/>
  <c r="I7" i="2"/>
  <c r="L4" i="2"/>
  <c r="L6" i="2"/>
  <c r="L8" i="2"/>
  <c r="L10" i="2"/>
  <c r="L13" i="2"/>
  <c r="L5" i="2"/>
  <c r="L7" i="2"/>
  <c r="L9" i="2"/>
  <c r="L11" i="2"/>
  <c r="L2" i="2"/>
  <c r="L3" i="2"/>
  <c r="M4" i="2"/>
  <c r="M6" i="2"/>
  <c r="M8" i="2"/>
  <c r="M10" i="2"/>
  <c r="M13" i="2"/>
  <c r="M2" i="2"/>
  <c r="M3" i="2"/>
  <c r="M5" i="2"/>
  <c r="M9" i="2"/>
  <c r="M11" i="2"/>
  <c r="M7" i="2"/>
  <c r="L15" i="2"/>
  <c r="L14" i="2"/>
  <c r="L12" i="2"/>
  <c r="K12" i="2"/>
  <c r="K15" i="2"/>
  <c r="K14" i="2"/>
  <c r="G12" i="2"/>
  <c r="G8" i="2"/>
  <c r="G4" i="2"/>
  <c r="G3" i="2"/>
  <c r="G13" i="2"/>
  <c r="G9" i="2"/>
  <c r="G10" i="2"/>
  <c r="G15" i="2"/>
  <c r="G6" i="2"/>
  <c r="G11" i="2"/>
  <c r="G2" i="2"/>
  <c r="G7" i="2"/>
  <c r="F52" i="2"/>
  <c r="F3" i="2"/>
  <c r="F10" i="2"/>
  <c r="F8" i="2"/>
  <c r="F13" i="2"/>
  <c r="F4" i="2"/>
  <c r="F9" i="2"/>
  <c r="F15" i="2"/>
  <c r="F6" i="2"/>
  <c r="F11" i="2"/>
  <c r="F7" i="2"/>
  <c r="F12" i="2"/>
  <c r="F2" i="2"/>
  <c r="F33" i="2"/>
  <c r="G45" i="2"/>
  <c r="G33" i="2"/>
  <c r="F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<sst xmlns="http://schemas.openxmlformats.org/spreadsheetml/2006/main" count="95" uniqueCount="74">
  <si>
    <t>JV III</t>
  </si>
  <si>
    <t xml:space="preserve"> NI LLC</t>
  </si>
  <si>
    <t>SC</t>
  </si>
  <si>
    <t>Middeltown</t>
  </si>
  <si>
    <t>Eastwick</t>
  </si>
  <si>
    <t>Marketing</t>
  </si>
  <si>
    <t>Sq Ft</t>
  </si>
  <si>
    <t>PRS</t>
  </si>
  <si>
    <t>40A0</t>
  </si>
  <si>
    <t>40B0</t>
  </si>
  <si>
    <t>40C0</t>
  </si>
  <si>
    <t>Alt PRS</t>
  </si>
  <si>
    <t>Salary REC</t>
  </si>
  <si>
    <t>Salary NR</t>
  </si>
  <si>
    <t>0800</t>
  </si>
  <si>
    <t>LIK</t>
  </si>
  <si>
    <t>Building 1</t>
  </si>
  <si>
    <t>Building 2</t>
  </si>
  <si>
    <t>Building 4</t>
  </si>
  <si>
    <t>Building 5</t>
  </si>
  <si>
    <t>Building 6</t>
  </si>
  <si>
    <t>Building 7</t>
  </si>
  <si>
    <t>Building 8</t>
  </si>
  <si>
    <t>Building A</t>
  </si>
  <si>
    <t>Building B</t>
  </si>
  <si>
    <t>Building C</t>
  </si>
  <si>
    <t>Parkwood Professional</t>
  </si>
  <si>
    <t>Brookwood SC</t>
  </si>
  <si>
    <t>Grays Ferry SC</t>
  </si>
  <si>
    <t>HK Co Castor Ave</t>
  </si>
  <si>
    <t>Parkwood SC</t>
  </si>
  <si>
    <t>Elbridge SC</t>
  </si>
  <si>
    <t>Revere SC</t>
  </si>
  <si>
    <t>Trust #4</t>
  </si>
  <si>
    <t>Lafayette Hill SC</t>
  </si>
  <si>
    <t>Office Works</t>
  </si>
  <si>
    <t>Bellmawr</t>
  </si>
  <si>
    <t>Middletown</t>
  </si>
  <si>
    <t>Eastwick JV</t>
  </si>
  <si>
    <t xml:space="preserve">Lavalle Campbell-Holley  Default - #1   </t>
  </si>
  <si>
    <t xml:space="preserve">ANDREW WINIG  Default - #10   </t>
  </si>
  <si>
    <t xml:space="preserve">Tami Tomlinson  Default - #11   </t>
  </si>
  <si>
    <t xml:space="preserve">Nancy Fox  Default - #17   </t>
  </si>
  <si>
    <t xml:space="preserve">Jason Gosik  Default - #18   </t>
  </si>
  <si>
    <t xml:space="preserve">Gregory Masciantonio  Default - #19   </t>
  </si>
  <si>
    <t xml:space="preserve">Donna Collier  Default - #2   </t>
  </si>
  <si>
    <t xml:space="preserve">Tatyana Rovkin  Default - #24   </t>
  </si>
  <si>
    <t xml:space="preserve">Marie Morsa-Jaster  Default - #25   </t>
  </si>
  <si>
    <t xml:space="preserve">Susan Weissman  Default - #26   </t>
  </si>
  <si>
    <t xml:space="preserve">Rita Borton  Default - #28   </t>
  </si>
  <si>
    <t xml:space="preserve">Charles Loiseau  Default - #33   </t>
  </si>
  <si>
    <t xml:space="preserve">Alison Korman Feldman  Default - #4   </t>
  </si>
  <si>
    <t xml:space="preserve">Harry Feldman  Default - #7   </t>
  </si>
  <si>
    <t xml:space="preserve"> Property Code</t>
  </si>
  <si>
    <t>Property Name</t>
  </si>
  <si>
    <t>EmployeeName</t>
  </si>
  <si>
    <t>EmployeeKey</t>
  </si>
  <si>
    <t>winig|andrew</t>
  </si>
  <si>
    <t>borton|rita</t>
  </si>
  <si>
    <t>collier|donna</t>
  </si>
  <si>
    <t>tomlinson|tami</t>
  </si>
  <si>
    <t>weissman|susan</t>
  </si>
  <si>
    <t>feldman|harry</t>
  </si>
  <si>
    <t>rovkin|tatyana</t>
  </si>
  <si>
    <t>loiseau|charles</t>
  </si>
  <si>
    <t>fox|nancy</t>
  </si>
  <si>
    <t>masciantonio|gregory</t>
  </si>
  <si>
    <t>gosik|jason</t>
  </si>
  <si>
    <t>korman feldman|alison</t>
  </si>
  <si>
    <t>campbell-holley|lavalle</t>
  </si>
  <si>
    <t>morsa-jaster|marie</t>
  </si>
  <si>
    <t>Recoverable</t>
  </si>
  <si>
    <t>NR</t>
  </si>
  <si>
    <t>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</si>
</sst>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9" fontId="1" fillId="3" borderId="0" xfId="2" applyFont="1" applyFill="1" applyAlignment="1">
      <alignment horizontal="center"/>
    </xf>
    <xf numFmtId="9" fontId="1" fillId="3" borderId="1" xfId="2" applyFont="1" applyFill="1" applyBorder="1" applyAlignment="1">
      <alignment horizontal="center"/>
    </xf>
    <xf numFmtId="9" fontId="1" fillId="3" borderId="0" xfId="2" applyFont="1" applyFill="1" applyBorder="1" applyAlignment="1">
      <alignment horizontal="center"/>
    </xf>
    <xf numFmtId="0" fontId="1" fillId="2" borderId="1" xfId="0" applyFont="1" applyFill="1" applyBorder="1"/>
    <xf numFmtId="2" fontId="1" fillId="2" borderId="0" xfId="0" applyNumberFormat="1" applyFont="1" applyFill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165" fontId="1" fillId="2" borderId="0" xfId="1" applyNumberFormat="1" applyFont="1" applyFill="1"/>
    <xf numFmtId="10" fontId="1" fillId="2" borderId="0" xfId="2" applyNumberFormat="1" applyFont="1" applyFill="1"/>
    <xf numFmtId="165" fontId="1" fillId="2" borderId="1" xfId="1" applyNumberFormat="1" applyFont="1" applyFill="1" applyBorder="1"/>
    <xf numFmtId="10" fontId="1" fillId="2" borderId="1" xfId="2" applyNumberFormat="1" applyFont="1" applyFill="1" applyBorder="1"/>
    <xf numFmtId="10" fontId="1" fillId="4" borderId="1" xfId="2" applyNumberFormat="1" applyFont="1" applyFill="1" applyBorder="1"/>
    <xf numFmtId="165" fontId="2" fillId="2" borderId="0" xfId="1" applyNumberFormat="1" applyFont="1" applyFill="1"/>
    <xf numFmtId="9" fontId="2" fillId="2" borderId="0" xfId="2" applyFont="1" applyFill="1"/>
    <xf numFmtId="165" fontId="1" fillId="2" borderId="2" xfId="1" applyNumberFormat="1" applyFont="1" applyFill="1" applyBorder="1"/>
    <xf numFmtId="165" fontId="1" fillId="2" borderId="0" xfId="1" applyNumberFormat="1" applyFont="1" applyFill="1" applyBorder="1"/>
    <xf numFmtId="10" fontId="1" fillId="2" borderId="0" xfId="2" applyNumberFormat="1" applyFont="1" applyFill="1" applyBorder="1"/>
    <xf numFmtId="9" fontId="1" fillId="2" borderId="0" xfId="2" applyFont="1" applyFill="1"/>
    <xf numFmtId="10" fontId="1" fillId="3" borderId="0" xfId="2" applyNumberFormat="1" applyFont="1" applyFill="1" applyAlignment="1">
      <alignment horizontal="center"/>
    </xf>
    <xf numFmtId="10" fontId="1" fillId="3" borderId="0" xfId="2" applyNumberFormat="1" applyFont="1" applyFill="1" applyBorder="1" applyAlignment="1">
      <alignment horizontal="center"/>
    </xf>
    <xf numFmtId="10" fontId="1" fillId="3" borderId="2" xfId="2" applyNumberFormat="1" applyFont="1" applyFill="1" applyBorder="1" applyAlignment="1">
      <alignment horizontal="center"/>
    </xf>
    <xf numFmtId="0" fontId="1" fillId="5" borderId="0" xfId="0" applyFont="1" applyFill="1"/>
    <xf numFmtId="10" fontId="1" fillId="5" borderId="0" xfId="2" applyNumberFormat="1" applyFont="1" applyFill="1" applyAlignment="1">
      <alignment horizontal="center"/>
    </xf>
    <xf numFmtId="10" fontId="1" fillId="5" borderId="0" xfId="2" applyNumberFormat="1" applyFont="1" applyFill="1" applyBorder="1" applyAlignment="1">
      <alignment horizontal="center"/>
    </xf>
    <xf numFmtId="9" fontId="1" fillId="5" borderId="0" xfId="2" applyFont="1" applyFill="1" applyAlignment="1">
      <alignment horizontal="center"/>
    </xf>
    <xf numFmtId="9" fontId="1" fillId="5" borderId="0" xfId="2" applyFont="1" applyFill="1" applyBorder="1" applyAlignment="1">
      <alignment horizontal="center"/>
    </xf>
    <xf numFmtId="0" fontId="1" fillId="5" borderId="1" xfId="0" applyFont="1" applyFill="1" applyBorder="1"/>
    <xf numFmtId="10" fontId="1" fillId="5" borderId="1" xfId="2" applyNumberFormat="1" applyFont="1" applyFill="1" applyBorder="1" applyAlignment="1">
      <alignment horizontal="center"/>
    </xf>
    <xf numFmtId="9" fontId="1" fillId="5" borderId="1" xfId="2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theme="0"/>
      </font>
    </dxf>
    <dxf>
      <numFmt numFmtId="166" formatCode="&quot;-&quot;"/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845F-2B38-4483-B26B-4207F6D89717}">
  <dimension ref="B1:AN94"/>
  <sheetViews>
    <sheetView tabSelected="1" zoomScale="130" zoomScaleNormal="130" workbookViewId="0">
      <selection activeCell="C14" sqref="C14"/>
    </sheetView>
  </sheetViews>
  <sheetFormatPr defaultColWidth="9.3828125" defaultRowHeight="16" x14ac:dyDescent="0.35"/>
  <cols>
    <col min="2" max="2" width="37.4609375" customWidth="1"/>
    <col min="3" max="3" width="23.61328125" customWidth="1"/>
    <col min="4" max="4" width="14.3046875" style="39" bestFit="1" customWidth="1"/>
    <col min="5" max="5" width="9.07421875" bestFit="1" customWidth="1"/>
    <col min="6" max="6" width="9.3046875" bestFit="1" customWidth="1"/>
    <col min="7" max="8" width="12.3046875" bestFit="1" customWidth="1"/>
    <col min="9" max="9" width="7.921875" bestFit="1" customWidth="1"/>
    <col min="10" max="10" width="6.921875" bestFit="1" customWidth="1"/>
    <col min="11" max="11" width="7.921875" bestFit="1" customWidth="1"/>
    <col min="12" max="12" width="6.921875" bestFit="1" customWidth="1"/>
    <col min="13" max="13" width="7.921875" bestFit="1" customWidth="1"/>
    <col min="14" max="18" width="6.921875" bestFit="1" customWidth="1"/>
    <col min="19" max="20" width="7.921875" bestFit="1" customWidth="1"/>
    <col min="21" max="21" width="6.921875" bestFit="1" customWidth="1"/>
    <col min="22" max="22" width="7.921875" bestFit="1" customWidth="1"/>
    <col min="23" max="25" width="6.921875" bestFit="1" customWidth="1"/>
    <col min="26" max="26" width="7.921875" customWidth="1"/>
    <col min="27" max="27" width="9.07421875" bestFit="1" customWidth="1"/>
    <col min="28" max="28" width="11.61328125" bestFit="1" customWidth="1"/>
    <col min="29" max="29" width="6.921875" bestFit="1" customWidth="1"/>
    <col min="30" max="30" width="13.3046875" bestFit="1" customWidth="1"/>
    <col min="31" max="33" width="7.921875" bestFit="1" customWidth="1"/>
    <col min="34" max="34" width="9.53515625" bestFit="1" customWidth="1"/>
    <col min="35" max="35" width="10.3828125" hidden="1" customWidth="1"/>
    <col min="36" max="36" width="9.53515625" hidden="1" customWidth="1"/>
    <col min="37" max="37" width="0" hidden="1" customWidth="1"/>
    <col min="38" max="38" width="7.921875" hidden="1" customWidth="1"/>
    <col min="39" max="39" width="0" hidden="1" customWidth="1"/>
    <col min="40" max="40" width="7.921875" hidden="1" customWidth="1"/>
  </cols>
  <sheetData>
    <row r="1" spans="2:37" ht="17.5" x14ac:dyDescent="0.35">
      <c r="B1" s="4" t="s">
        <v>55</v>
      </c>
      <c r="C1" s="4" t="s">
        <v>56</v>
      </c>
      <c r="D1" s="3" t="s">
        <v>71</v>
      </c>
      <c r="E1" s="3">
        <v>2010</v>
      </c>
      <c r="F1" s="3">
        <v>3610</v>
      </c>
      <c r="G1" s="3">
        <v>3620</v>
      </c>
      <c r="H1" s="3">
        <v>3640</v>
      </c>
      <c r="I1" s="3">
        <v>4050</v>
      </c>
      <c r="J1" s="3">
        <v>4060</v>
      </c>
      <c r="K1" s="3">
        <v>4070</v>
      </c>
      <c r="L1" s="3">
        <v>4080</v>
      </c>
      <c r="M1" s="3" t="s">
        <v>8</v>
      </c>
      <c r="N1" s="3" t="s">
        <v>9</v>
      </c>
      <c r="O1" s="3" t="s">
        <v>10</v>
      </c>
      <c r="P1" s="3">
        <v>1100</v>
      </c>
      <c r="Q1" s="3">
        <v>1500</v>
      </c>
      <c r="R1" s="3">
        <v>2300</v>
      </c>
      <c r="S1" s="3">
        <v>4500</v>
      </c>
      <c r="T1" s="3">
        <v>5600</v>
      </c>
      <c r="U1" s="3">
        <v>7010</v>
      </c>
      <c r="V1" s="3">
        <v>7200</v>
      </c>
      <c r="W1" s="3">
        <v>7300</v>
      </c>
      <c r="X1" s="3">
        <v>8200</v>
      </c>
      <c r="Y1" s="3">
        <v>9510</v>
      </c>
      <c r="Z1" s="3">
        <v>4900</v>
      </c>
      <c r="AA1" s="5" t="s">
        <v>5</v>
      </c>
      <c r="AB1" s="38" t="s">
        <v>14</v>
      </c>
      <c r="AC1" s="5" t="s">
        <v>3</v>
      </c>
      <c r="AD1" s="5" t="s">
        <v>4</v>
      </c>
      <c r="AI1" s="3" t="s">
        <v>0</v>
      </c>
      <c r="AJ1" s="3" t="s">
        <v>1</v>
      </c>
      <c r="AK1" s="3" t="s">
        <v>2</v>
      </c>
    </row>
    <row r="2" spans="2:37" x14ac:dyDescent="0.35">
      <c r="B2" s="2" t="s">
        <v>40</v>
      </c>
      <c r="C2" s="2" t="s">
        <v>57</v>
      </c>
      <c r="D2" s="6" t="s">
        <v>72</v>
      </c>
      <c r="E2" s="27">
        <v>0.25</v>
      </c>
      <c r="F2" s="27">
        <f>$F$49*AI2</f>
        <v>3.4173209438894264E-2</v>
      </c>
      <c r="G2" s="27">
        <f>$F$50*AI2</f>
        <v>4.0055731012998183E-2</v>
      </c>
      <c r="H2" s="27">
        <f>$F$51*AI2</f>
        <v>3.9871059548107574E-2</v>
      </c>
      <c r="I2" s="29">
        <f>$F$38*AJ2</f>
        <v>3.2066464140543406E-2</v>
      </c>
      <c r="J2" s="29">
        <f>$F$39*AJ2</f>
        <v>6.4058117614487251E-2</v>
      </c>
      <c r="K2" s="29">
        <f>$F$40*AJ2</f>
        <v>3.6519480009564204E-2</v>
      </c>
      <c r="L2" s="29">
        <f>$F$41*AJ2</f>
        <v>7.5907889709676213E-2</v>
      </c>
      <c r="M2" s="29">
        <f>$F$42*AJ2</f>
        <v>8.955311780325435E-3</v>
      </c>
      <c r="N2" s="29">
        <f>$F$43*AJ2</f>
        <v>7.7054986597535962E-3</v>
      </c>
      <c r="O2" s="29">
        <f>$F$44*AJ2</f>
        <v>1.0687238085649926E-2</v>
      </c>
      <c r="P2" s="29">
        <f>$G$23*AK2</f>
        <v>1.047835291397523E-2</v>
      </c>
      <c r="Q2" s="29">
        <f>$G$24*AK2</f>
        <v>2.882906316382711E-3</v>
      </c>
      <c r="R2" s="29">
        <f>$G$25*$AK2</f>
        <v>7.7853643733472047E-2</v>
      </c>
      <c r="S2" s="29">
        <f>$G$26*$AK2</f>
        <v>0.10470639875146312</v>
      </c>
      <c r="T2" s="29">
        <f>$G$27*$AK2</f>
        <v>1.6766376208436295E-3</v>
      </c>
      <c r="U2" s="29">
        <f>$G$28*$AK2</f>
        <v>9.2567845840378013E-2</v>
      </c>
      <c r="V2" s="29">
        <f>$G$29*$AK2</f>
        <v>1.8740155489082526E-2</v>
      </c>
      <c r="W2" s="29">
        <f>$G$30*$AK2</f>
        <v>2.8449733385355704E-2</v>
      </c>
      <c r="X2" s="29">
        <f>$G$31*$AK2</f>
        <v>1.264432594904698E-2</v>
      </c>
      <c r="Y2" s="29">
        <f>$G$32*$AK2</f>
        <v>0</v>
      </c>
      <c r="Z2" s="27">
        <v>0.05</v>
      </c>
      <c r="AA2" s="27">
        <v>0</v>
      </c>
      <c r="AB2" s="27">
        <v>0</v>
      </c>
      <c r="AC2" s="27">
        <v>0</v>
      </c>
      <c r="AD2" s="27">
        <v>0</v>
      </c>
      <c r="AI2" s="7">
        <v>0.11410000000000002</v>
      </c>
      <c r="AJ2" s="7">
        <v>0.23590000000000003</v>
      </c>
      <c r="AK2" s="7">
        <v>0.35</v>
      </c>
    </row>
    <row r="3" spans="2:37" x14ac:dyDescent="0.35">
      <c r="B3" s="2" t="s">
        <v>51</v>
      </c>
      <c r="C3" s="2" t="s">
        <v>68</v>
      </c>
      <c r="D3" s="6" t="s">
        <v>72</v>
      </c>
      <c r="E3" s="27">
        <v>0.6</v>
      </c>
      <c r="F3" s="27">
        <f>$F$49*AI3</f>
        <v>7.7333281114849882E-3</v>
      </c>
      <c r="G3" s="27">
        <f>$F$50*AI3</f>
        <v>9.0645308343892811E-3</v>
      </c>
      <c r="H3" s="27">
        <f>$F$51*AI3</f>
        <v>9.0227400557566419E-3</v>
      </c>
      <c r="I3" s="28">
        <f>$F$38*AJ3</f>
        <v>7.2565759156279436E-3</v>
      </c>
      <c r="J3" s="28">
        <f>$F$39*AJ3</f>
        <v>1.4496222328860517E-2</v>
      </c>
      <c r="K3" s="28">
        <f>$F$40*AJ3</f>
        <v>8.2642843915428001E-3</v>
      </c>
      <c r="L3" s="28">
        <f>$F$41*AJ3</f>
        <v>1.7177801763835012E-2</v>
      </c>
      <c r="M3" s="28">
        <f>$F$42*AJ3</f>
        <v>2.0265689256298374E-3</v>
      </c>
      <c r="N3" s="28">
        <f>$F$43*AJ3</f>
        <v>1.7437387467230678E-3</v>
      </c>
      <c r="O3" s="28">
        <f>$F$44*AJ3</f>
        <v>2.4185003421956556E-3</v>
      </c>
      <c r="P3" s="28">
        <f>$G$23*AK3</f>
        <v>2.371230050739043E-3</v>
      </c>
      <c r="Q3" s="28">
        <f>$G$24*AK3</f>
        <v>6.5239586287981399E-4</v>
      </c>
      <c r="R3" s="28">
        <f>$G$25*$AK3</f>
        <v>1.7618121960191187E-2</v>
      </c>
      <c r="S3" s="28">
        <f>$G$26*$AK3</f>
        <v>2.3694846056673029E-2</v>
      </c>
      <c r="T3" s="28">
        <f>$G$27*$AK3</f>
        <v>3.7941969920115502E-4</v>
      </c>
      <c r="U3" s="28">
        <f>$G$28*$AK3</f>
        <v>2.0947916107705394E-2</v>
      </c>
      <c r="V3" s="28">
        <f>$G$29*$AK3</f>
        <v>4.2408592472551413E-3</v>
      </c>
      <c r="W3" s="28">
        <f>$G$30*$AK3</f>
        <v>6.4381170678929015E-3</v>
      </c>
      <c r="X3" s="28">
        <f>$G$31*$AK3</f>
        <v>2.8613853635079561E-3</v>
      </c>
      <c r="Y3" s="28">
        <f>$G$32*$AK3</f>
        <v>0</v>
      </c>
      <c r="Z3" s="27">
        <v>0</v>
      </c>
      <c r="AA3" s="27">
        <v>0.24159141716790872</v>
      </c>
      <c r="AB3" s="27">
        <v>0</v>
      </c>
      <c r="AC3" s="27">
        <v>0</v>
      </c>
      <c r="AD3" s="27">
        <v>0</v>
      </c>
      <c r="AI3" s="7">
        <v>2.582059900163091E-2</v>
      </c>
      <c r="AJ3" s="7">
        <v>5.3383692414414832E-2</v>
      </c>
      <c r="AK3" s="7">
        <v>7.9204291416045625E-2</v>
      </c>
    </row>
    <row r="4" spans="2:37" x14ac:dyDescent="0.35">
      <c r="B4" s="2" t="s">
        <v>49</v>
      </c>
      <c r="C4" s="2" t="s">
        <v>58</v>
      </c>
      <c r="D4" s="6" t="s">
        <v>72</v>
      </c>
      <c r="E4" s="27">
        <v>0</v>
      </c>
      <c r="F4" s="27">
        <f>$F$49*AI4</f>
        <v>0</v>
      </c>
      <c r="G4" s="27">
        <f>$F$50*AI4</f>
        <v>0</v>
      </c>
      <c r="H4" s="27">
        <f>$F$51*AI4</f>
        <v>0</v>
      </c>
      <c r="I4" s="28">
        <f>$F$38*AJ4</f>
        <v>0</v>
      </c>
      <c r="J4" s="28">
        <f>$F$39*AJ4</f>
        <v>0</v>
      </c>
      <c r="K4" s="28">
        <f>$F$40*AJ4</f>
        <v>0</v>
      </c>
      <c r="L4" s="28">
        <f>$F$41*AJ4</f>
        <v>0</v>
      </c>
      <c r="M4" s="28">
        <f>$F$42*AJ4</f>
        <v>0</v>
      </c>
      <c r="N4" s="28">
        <f>$F$43*AJ4</f>
        <v>0</v>
      </c>
      <c r="O4" s="28">
        <f>$F$44*AJ4</f>
        <v>0</v>
      </c>
      <c r="P4" s="28">
        <f>$G$23*AK4</f>
        <v>0</v>
      </c>
      <c r="Q4" s="28">
        <f>$G$24*AK4</f>
        <v>0</v>
      </c>
      <c r="R4" s="28">
        <f>$G$25*$AK4</f>
        <v>0</v>
      </c>
      <c r="S4" s="28">
        <f>$G$26*$AK4</f>
        <v>0</v>
      </c>
      <c r="T4" s="28">
        <f>$G$27*$AK4</f>
        <v>0</v>
      </c>
      <c r="U4" s="28">
        <f>$G$28*$AK4</f>
        <v>0</v>
      </c>
      <c r="V4" s="28">
        <f>$G$29*$AK4</f>
        <v>0</v>
      </c>
      <c r="W4" s="28">
        <f>$G$30*$AK4</f>
        <v>0</v>
      </c>
      <c r="X4" s="28">
        <f>$G$31*$AK4</f>
        <v>0</v>
      </c>
      <c r="Y4" s="28">
        <f>$G$32*$AK4</f>
        <v>0</v>
      </c>
      <c r="Z4" s="27">
        <v>1</v>
      </c>
      <c r="AA4" s="27">
        <v>0</v>
      </c>
      <c r="AB4" s="27">
        <v>0</v>
      </c>
      <c r="AC4" s="27">
        <v>0</v>
      </c>
      <c r="AD4" s="27">
        <v>0</v>
      </c>
      <c r="AI4" s="7">
        <v>0</v>
      </c>
      <c r="AJ4" s="7">
        <v>0</v>
      </c>
      <c r="AK4" s="7">
        <v>0</v>
      </c>
    </row>
    <row r="5" spans="2:37" x14ac:dyDescent="0.35">
      <c r="B5" s="2" t="s">
        <v>39</v>
      </c>
      <c r="C5" s="2" t="s">
        <v>69</v>
      </c>
      <c r="D5" s="6" t="s">
        <v>72</v>
      </c>
      <c r="E5" s="27">
        <v>0</v>
      </c>
      <c r="F5" s="27">
        <f>$F$49*AI5</f>
        <v>0</v>
      </c>
      <c r="G5" s="27">
        <f>$F$50*AI5</f>
        <v>0</v>
      </c>
      <c r="H5" s="27">
        <f>$F$51*AI5</f>
        <v>0</v>
      </c>
      <c r="I5" s="28">
        <f>$F$38*AJ5</f>
        <v>0</v>
      </c>
      <c r="J5" s="28">
        <f>$F$39*AJ5</f>
        <v>0</v>
      </c>
      <c r="K5" s="28">
        <f>$F$40*AJ5</f>
        <v>0</v>
      </c>
      <c r="L5" s="28">
        <f>$F$41*AJ5</f>
        <v>0</v>
      </c>
      <c r="M5" s="28">
        <f>$F$42*AJ5</f>
        <v>0</v>
      </c>
      <c r="N5" s="28">
        <f>$F$43*AJ5</f>
        <v>0</v>
      </c>
      <c r="O5" s="28">
        <f>$F$44*AJ5</f>
        <v>0</v>
      </c>
      <c r="P5" s="28">
        <f>$G$23*AK5</f>
        <v>0</v>
      </c>
      <c r="Q5" s="28">
        <f>$G$24*AK5</f>
        <v>0</v>
      </c>
      <c r="R5" s="28">
        <f>$G$25*$AK5</f>
        <v>0</v>
      </c>
      <c r="S5" s="28">
        <f>$G$26*$AK5</f>
        <v>0</v>
      </c>
      <c r="T5" s="28">
        <f>$G$27*$AK5</f>
        <v>0</v>
      </c>
      <c r="U5" s="28">
        <f>$G$28*$AK5</f>
        <v>0</v>
      </c>
      <c r="V5" s="28">
        <f>$G$29*$AK5</f>
        <v>0</v>
      </c>
      <c r="W5" s="28">
        <f>$G$30*$AK5</f>
        <v>0</v>
      </c>
      <c r="X5" s="28">
        <f>$G$31*$AK5</f>
        <v>0</v>
      </c>
      <c r="Y5" s="28">
        <f>$G$32*$AK5</f>
        <v>0</v>
      </c>
      <c r="Z5" s="27">
        <v>1</v>
      </c>
      <c r="AA5" s="27">
        <v>0</v>
      </c>
      <c r="AB5" s="27">
        <v>0</v>
      </c>
      <c r="AC5" s="27">
        <v>0</v>
      </c>
      <c r="AD5" s="27">
        <v>0</v>
      </c>
      <c r="AI5" s="7">
        <v>0</v>
      </c>
      <c r="AJ5" s="7">
        <v>0</v>
      </c>
      <c r="AK5" s="7">
        <v>0</v>
      </c>
    </row>
    <row r="6" spans="2:37" x14ac:dyDescent="0.35">
      <c r="B6" s="2" t="s">
        <v>45</v>
      </c>
      <c r="C6" s="2" t="s">
        <v>59</v>
      </c>
      <c r="D6" s="6" t="s">
        <v>72</v>
      </c>
      <c r="E6" s="27">
        <v>0</v>
      </c>
      <c r="F6" s="27">
        <f>$F$49*AI6</f>
        <v>0</v>
      </c>
      <c r="G6" s="27">
        <f>$F$50*AI6</f>
        <v>0</v>
      </c>
      <c r="H6" s="27">
        <f>$F$51*AI6</f>
        <v>0</v>
      </c>
      <c r="I6" s="28">
        <f>$F$38*AJ6</f>
        <v>0</v>
      </c>
      <c r="J6" s="28">
        <f>$F$39*AJ6</f>
        <v>0</v>
      </c>
      <c r="K6" s="28">
        <f>$F$40*AJ6</f>
        <v>0</v>
      </c>
      <c r="L6" s="28">
        <f>$F$41*AJ6</f>
        <v>0</v>
      </c>
      <c r="M6" s="28">
        <f>$F$42*AJ6</f>
        <v>0</v>
      </c>
      <c r="N6" s="28">
        <f>$F$43*AJ6</f>
        <v>0</v>
      </c>
      <c r="O6" s="28">
        <f>$F$44*AJ6</f>
        <v>0</v>
      </c>
      <c r="P6" s="28">
        <f>$G$23*AK6</f>
        <v>0</v>
      </c>
      <c r="Q6" s="28">
        <f>$G$24*AK6</f>
        <v>0</v>
      </c>
      <c r="R6" s="28">
        <f>$G$25*$AK6</f>
        <v>0</v>
      </c>
      <c r="S6" s="28">
        <f>$G$26*$AK6</f>
        <v>0</v>
      </c>
      <c r="T6" s="28">
        <f>$G$27*$AK6</f>
        <v>0</v>
      </c>
      <c r="U6" s="28">
        <f>$G$28*$AK6</f>
        <v>0</v>
      </c>
      <c r="V6" s="28">
        <f>$G$29*$AK6</f>
        <v>0</v>
      </c>
      <c r="W6" s="28">
        <f>$G$30*$AK6</f>
        <v>0</v>
      </c>
      <c r="X6" s="28">
        <f>$G$31*$AK6</f>
        <v>0</v>
      </c>
      <c r="Y6" s="28">
        <f>$G$32*$AK6</f>
        <v>0</v>
      </c>
      <c r="Z6" s="27">
        <v>1</v>
      </c>
      <c r="AA6" s="27">
        <v>0</v>
      </c>
      <c r="AB6" s="27">
        <v>0</v>
      </c>
      <c r="AC6" s="27">
        <v>0</v>
      </c>
      <c r="AD6" s="27">
        <v>0</v>
      </c>
      <c r="AI6" s="7">
        <v>0</v>
      </c>
      <c r="AJ6" s="7">
        <v>0</v>
      </c>
      <c r="AK6" s="7">
        <v>0</v>
      </c>
    </row>
    <row r="7" spans="2:37" x14ac:dyDescent="0.35">
      <c r="B7" s="2" t="s">
        <v>41</v>
      </c>
      <c r="C7" s="2" t="s">
        <v>60</v>
      </c>
      <c r="D7" s="6" t="s">
        <v>72</v>
      </c>
      <c r="E7" s="27">
        <v>0</v>
      </c>
      <c r="F7" s="27">
        <f>$F$49*AI7</f>
        <v>0</v>
      </c>
      <c r="G7" s="27">
        <f>$F$50*AI7</f>
        <v>0</v>
      </c>
      <c r="H7" s="27">
        <f>$F$51*AI7</f>
        <v>0</v>
      </c>
      <c r="I7" s="28">
        <f>$F$38*AJ7</f>
        <v>0</v>
      </c>
      <c r="J7" s="28">
        <f>$F$39*AJ7</f>
        <v>0</v>
      </c>
      <c r="K7" s="28">
        <f>$F$40*AJ7</f>
        <v>0</v>
      </c>
      <c r="L7" s="28">
        <f>$F$41*AJ7</f>
        <v>0</v>
      </c>
      <c r="M7" s="28">
        <f>$F$42*AJ7</f>
        <v>0</v>
      </c>
      <c r="N7" s="28">
        <f>$F$43*AJ7</f>
        <v>0</v>
      </c>
      <c r="O7" s="28">
        <f>$F$44*AJ7</f>
        <v>0</v>
      </c>
      <c r="P7" s="28">
        <f>$G$23*AK7</f>
        <v>0</v>
      </c>
      <c r="Q7" s="28">
        <f>$G$24*AK7</f>
        <v>0</v>
      </c>
      <c r="R7" s="28">
        <f>$G$25*$AK7</f>
        <v>0</v>
      </c>
      <c r="S7" s="28">
        <f>$G$26*$AK7</f>
        <v>0</v>
      </c>
      <c r="T7" s="28">
        <f>$G$27*$AK7</f>
        <v>0</v>
      </c>
      <c r="U7" s="28">
        <f>$G$28*$AK7</f>
        <v>0</v>
      </c>
      <c r="V7" s="28">
        <f>$G$29*$AK7</f>
        <v>0</v>
      </c>
      <c r="W7" s="28">
        <f>$G$30*$AK7</f>
        <v>0</v>
      </c>
      <c r="X7" s="28">
        <f>$G$31*$AK7</f>
        <v>0</v>
      </c>
      <c r="Y7" s="28">
        <f>$G$32*$AK7</f>
        <v>0</v>
      </c>
      <c r="Z7" s="27">
        <v>1</v>
      </c>
      <c r="AA7" s="27">
        <v>0</v>
      </c>
      <c r="AB7" s="27">
        <v>0</v>
      </c>
      <c r="AC7" s="27">
        <v>0</v>
      </c>
      <c r="AD7" s="27">
        <v>0</v>
      </c>
      <c r="AI7" s="7">
        <v>0</v>
      </c>
      <c r="AJ7" s="7">
        <v>0</v>
      </c>
      <c r="AK7" s="7">
        <v>0</v>
      </c>
    </row>
    <row r="8" spans="2:37" x14ac:dyDescent="0.35">
      <c r="B8" s="2" t="s">
        <v>48</v>
      </c>
      <c r="C8" s="2" t="s">
        <v>61</v>
      </c>
      <c r="D8" s="6" t="s">
        <v>72</v>
      </c>
      <c r="E8" s="27">
        <v>0</v>
      </c>
      <c r="F8" s="27">
        <f>$F$49*AI8</f>
        <v>0</v>
      </c>
      <c r="G8" s="27">
        <f>$F$50*AI8</f>
        <v>0</v>
      </c>
      <c r="H8" s="27">
        <f>$F$51*AI8</f>
        <v>0</v>
      </c>
      <c r="I8" s="28">
        <f>$F$38*AJ8</f>
        <v>0</v>
      </c>
      <c r="J8" s="28">
        <f>$F$39*AJ8</f>
        <v>0</v>
      </c>
      <c r="K8" s="28">
        <f>$F$40*AJ8</f>
        <v>0</v>
      </c>
      <c r="L8" s="28">
        <f>$F$41*AJ8</f>
        <v>0</v>
      </c>
      <c r="M8" s="28">
        <f>$F$42*AJ8</f>
        <v>0</v>
      </c>
      <c r="N8" s="28">
        <f>$F$43*AJ8</f>
        <v>0</v>
      </c>
      <c r="O8" s="28">
        <f>$F$44*AJ8</f>
        <v>0</v>
      </c>
      <c r="P8" s="28">
        <f>$G$23*AK8</f>
        <v>0</v>
      </c>
      <c r="Q8" s="28">
        <f>$G$24*AK8</f>
        <v>0</v>
      </c>
      <c r="R8" s="28">
        <f>$G$25*$AK8</f>
        <v>0</v>
      </c>
      <c r="S8" s="28">
        <f>$G$26*$AK8</f>
        <v>0</v>
      </c>
      <c r="T8" s="28">
        <f>$G$27*$AK8</f>
        <v>0</v>
      </c>
      <c r="U8" s="28">
        <f>$G$28*$AK8</f>
        <v>0</v>
      </c>
      <c r="V8" s="28">
        <f>$G$29*$AK8</f>
        <v>0</v>
      </c>
      <c r="W8" s="28">
        <f>$G$30*$AK8</f>
        <v>0</v>
      </c>
      <c r="X8" s="28">
        <f>$G$31*$AK8</f>
        <v>0</v>
      </c>
      <c r="Y8" s="28">
        <f>$G$32*$AK8</f>
        <v>0</v>
      </c>
      <c r="Z8" s="27">
        <v>1</v>
      </c>
      <c r="AA8" s="27">
        <v>0</v>
      </c>
      <c r="AB8" s="27">
        <v>0</v>
      </c>
      <c r="AC8" s="27">
        <v>0</v>
      </c>
      <c r="AD8" s="27">
        <v>0</v>
      </c>
      <c r="AI8" s="7">
        <v>0</v>
      </c>
      <c r="AJ8" s="7">
        <v>0</v>
      </c>
      <c r="AK8" s="7">
        <v>0</v>
      </c>
    </row>
    <row r="9" spans="2:37" x14ac:dyDescent="0.35">
      <c r="B9" s="2" t="s">
        <v>52</v>
      </c>
      <c r="C9" s="2" t="s">
        <v>62</v>
      </c>
      <c r="D9" s="6" t="s">
        <v>72</v>
      </c>
      <c r="E9" s="27">
        <v>0</v>
      </c>
      <c r="F9" s="27">
        <f>$F$49*AI9</f>
        <v>0</v>
      </c>
      <c r="G9" s="27">
        <f>$F$50*AI9</f>
        <v>0</v>
      </c>
      <c r="H9" s="27">
        <f>$F$51*AI9</f>
        <v>0</v>
      </c>
      <c r="I9" s="28">
        <f>$F$38*AJ9</f>
        <v>0</v>
      </c>
      <c r="J9" s="28">
        <f>$F$39*AJ9</f>
        <v>0</v>
      </c>
      <c r="K9" s="28">
        <f>$F$40*AJ9</f>
        <v>0</v>
      </c>
      <c r="L9" s="28">
        <f>$F$41*AJ9</f>
        <v>0</v>
      </c>
      <c r="M9" s="28">
        <f>$F$42*AJ9</f>
        <v>0</v>
      </c>
      <c r="N9" s="28">
        <f>$F$43*AJ9</f>
        <v>0</v>
      </c>
      <c r="O9" s="28">
        <f>$F$44*AJ9</f>
        <v>0</v>
      </c>
      <c r="P9" s="28">
        <f>$G$23*AK9</f>
        <v>2.5324596638650356E-2</v>
      </c>
      <c r="Q9" s="28">
        <f>$G$24*AK9</f>
        <v>6.9675492139643792E-3</v>
      </c>
      <c r="R9" s="28">
        <f>$G$25*$AK9</f>
        <v>0.18816050008869067</v>
      </c>
      <c r="S9" s="28">
        <f>$G$26*$AK9</f>
        <v>0.25305955388560364</v>
      </c>
      <c r="T9" s="28">
        <f>$G$27*$AK9</f>
        <v>4.052179937595074E-3</v>
      </c>
      <c r="U9" s="28">
        <f>$G$28*$AK9</f>
        <v>0.22372250456364834</v>
      </c>
      <c r="V9" s="28">
        <f>$G$29*$AK9</f>
        <v>4.5292125833406173E-2</v>
      </c>
      <c r="W9" s="28">
        <f>$G$30*$AK9</f>
        <v>6.8758709348332697E-2</v>
      </c>
      <c r="X9" s="28">
        <f>$G$31*$AK9</f>
        <v>3.0559426377036753E-2</v>
      </c>
      <c r="Y9" s="28">
        <f>$G$32*$AK9</f>
        <v>0</v>
      </c>
      <c r="Z9" s="27">
        <v>0</v>
      </c>
      <c r="AA9" s="27">
        <v>0</v>
      </c>
      <c r="AB9" s="27">
        <v>5.1367618037690584E-2</v>
      </c>
      <c r="AC9" s="27">
        <v>5.1367618037690584E-2</v>
      </c>
      <c r="AD9" s="27">
        <v>5.1367618037690584E-2</v>
      </c>
      <c r="AI9" s="7">
        <v>0</v>
      </c>
      <c r="AJ9" s="7">
        <v>0</v>
      </c>
      <c r="AK9" s="7">
        <v>0.8458971458869281</v>
      </c>
    </row>
    <row r="10" spans="2:37" x14ac:dyDescent="0.35">
      <c r="B10" s="2" t="s">
        <v>47</v>
      </c>
      <c r="C10" s="2" t="s">
        <v>70</v>
      </c>
      <c r="D10" s="6" t="s">
        <v>72</v>
      </c>
      <c r="E10" s="27">
        <v>0</v>
      </c>
      <c r="F10" s="27">
        <f>$F$49*AI10</f>
        <v>4.8818870626991799E-2</v>
      </c>
      <c r="G10" s="27">
        <f>$F$50*AI10</f>
        <v>5.722247287571168E-2</v>
      </c>
      <c r="H10" s="27">
        <f>$F$51*AI10</f>
        <v>5.695865649729652E-2</v>
      </c>
      <c r="I10" s="28">
        <f>$F$38*AJ10</f>
        <v>4.5809234486490574E-2</v>
      </c>
      <c r="J10" s="28">
        <f>$F$39*AJ10</f>
        <v>9.1511596592124642E-2</v>
      </c>
      <c r="K10" s="28">
        <f>$F$40*AJ10</f>
        <v>5.2170685727948862E-2</v>
      </c>
      <c r="L10" s="28">
        <f>$F$41*AJ10</f>
        <v>0.10843984244239459</v>
      </c>
      <c r="M10" s="28">
        <f>$F$42*AJ10</f>
        <v>1.279330254332205E-2</v>
      </c>
      <c r="N10" s="28">
        <f>$F$43*AJ10</f>
        <v>1.1007855228219423E-2</v>
      </c>
      <c r="O10" s="28">
        <f>$F$44*AJ10</f>
        <v>1.5267482979499893E-2</v>
      </c>
      <c r="P10" s="28">
        <f>$G$23*AK10</f>
        <v>1.4969075591393188E-2</v>
      </c>
      <c r="Q10" s="28">
        <f>$G$24*AK10</f>
        <v>4.1184375948324446E-3</v>
      </c>
      <c r="R10" s="28">
        <f>$G$25*$AK10</f>
        <v>0.11121949104781723</v>
      </c>
      <c r="S10" s="28">
        <f>$G$26*$AK10</f>
        <v>0.14958056964494731</v>
      </c>
      <c r="T10" s="28">
        <f>$G$27*$AK10</f>
        <v>2.3951966012051851E-3</v>
      </c>
      <c r="U10" s="28">
        <f>$G$28*$AK10</f>
        <v>0.1322397797719686</v>
      </c>
      <c r="V10" s="28">
        <f>$G$29*$AK10</f>
        <v>2.6771650698689326E-2</v>
      </c>
      <c r="W10" s="28">
        <f>$G$30*$AK10</f>
        <v>4.0642476264793864E-2</v>
      </c>
      <c r="X10" s="28">
        <f>$G$31*$AK10</f>
        <v>1.8063322784352829E-2</v>
      </c>
      <c r="Y10" s="28">
        <f>$G$32*$AK10</f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I10" s="7">
        <v>0.16300000000000001</v>
      </c>
      <c r="AJ10" s="7">
        <v>0.33700000000000002</v>
      </c>
      <c r="AK10" s="7">
        <v>0.5</v>
      </c>
    </row>
    <row r="11" spans="2:37" x14ac:dyDescent="0.35">
      <c r="B11" s="2" t="s">
        <v>46</v>
      </c>
      <c r="C11" s="2" t="s">
        <v>63</v>
      </c>
      <c r="D11" s="6" t="s">
        <v>72</v>
      </c>
      <c r="E11" s="27">
        <v>0</v>
      </c>
      <c r="F11" s="27">
        <f>$F$49*AI11</f>
        <v>4.8818870626991799E-2</v>
      </c>
      <c r="G11" s="27">
        <f>$F$50*AI11</f>
        <v>5.722247287571168E-2</v>
      </c>
      <c r="H11" s="27">
        <f>$F$51*AI11</f>
        <v>5.695865649729652E-2</v>
      </c>
      <c r="I11" s="28">
        <f>$F$38*AJ11</f>
        <v>4.5809234486490574E-2</v>
      </c>
      <c r="J11" s="28">
        <f>$F$39*AJ11</f>
        <v>9.1511596592124642E-2</v>
      </c>
      <c r="K11" s="28">
        <f>$F$40*AJ11</f>
        <v>5.2170685727948862E-2</v>
      </c>
      <c r="L11" s="28">
        <f>$F$41*AJ11</f>
        <v>0.10843984244239459</v>
      </c>
      <c r="M11" s="28">
        <f>$F$42*AJ11</f>
        <v>1.279330254332205E-2</v>
      </c>
      <c r="N11" s="28">
        <f>$F$43*AJ11</f>
        <v>1.1007855228219423E-2</v>
      </c>
      <c r="O11" s="28">
        <f>$F$44*AJ11</f>
        <v>1.5267482979499893E-2</v>
      </c>
      <c r="P11" s="28">
        <f>$G$23*AK11</f>
        <v>1.4969075591393188E-2</v>
      </c>
      <c r="Q11" s="28">
        <f>$G$24*AK11</f>
        <v>4.1184375948324446E-3</v>
      </c>
      <c r="R11" s="28">
        <f>$G$25*$AK11</f>
        <v>0.11121949104781723</v>
      </c>
      <c r="S11" s="28">
        <f>$G$26*$AK11</f>
        <v>0.14958056964494731</v>
      </c>
      <c r="T11" s="28">
        <f>$G$27*$AK11</f>
        <v>2.3951966012051851E-3</v>
      </c>
      <c r="U11" s="28">
        <f>$G$28*$AK11</f>
        <v>0.1322397797719686</v>
      </c>
      <c r="V11" s="28">
        <f>$G$29*$AK11</f>
        <v>2.6771650698689326E-2</v>
      </c>
      <c r="W11" s="28">
        <f>$G$30*$AK11</f>
        <v>4.0642476264793864E-2</v>
      </c>
      <c r="X11" s="28">
        <f>$G$31*$AK11</f>
        <v>1.8063322784352829E-2</v>
      </c>
      <c r="Y11" s="28">
        <f>$G$32*$AK11</f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I11" s="7">
        <v>0.16300000000000001</v>
      </c>
      <c r="AJ11" s="7">
        <v>0.33700000000000002</v>
      </c>
      <c r="AK11" s="7">
        <v>0.5</v>
      </c>
    </row>
    <row r="12" spans="2:37" x14ac:dyDescent="0.35">
      <c r="B12" s="30" t="s">
        <v>50</v>
      </c>
      <c r="C12" s="30" t="s">
        <v>64</v>
      </c>
      <c r="D12" s="40" t="s">
        <v>73</v>
      </c>
      <c r="E12" s="31">
        <v>0</v>
      </c>
      <c r="F12" s="31">
        <f>$F$49*AI12</f>
        <v>4.8818870626991799E-2</v>
      </c>
      <c r="G12" s="31">
        <f>$F$50*AI12</f>
        <v>5.722247287571168E-2</v>
      </c>
      <c r="H12" s="31">
        <f>$F$51*AI12</f>
        <v>5.695865649729652E-2</v>
      </c>
      <c r="I12" s="32">
        <f>$G$38*AJ12</f>
        <v>4.7983064207848362E-2</v>
      </c>
      <c r="J12" s="32">
        <f>$G$39*AJ12</f>
        <v>9.5854184516826396E-2</v>
      </c>
      <c r="K12" s="32">
        <f>$G$40*AJ12</f>
        <v>5.4646391521558604E-2</v>
      </c>
      <c r="L12" s="32">
        <f>$G$41*AJ12</f>
        <v>0.11358574272043025</v>
      </c>
      <c r="M12" s="32">
        <f>$G$42*AJ12</f>
        <v>1.340039544969221E-2</v>
      </c>
      <c r="N12" s="32">
        <f>$G$43*AJ12</f>
        <v>1.1530221583644201E-2</v>
      </c>
      <c r="O12" s="32">
        <f>$G$44*AJ12</f>
        <v>0</v>
      </c>
      <c r="P12" s="32">
        <f>$F$23*$AK12</f>
        <v>1.3961191022517833E-2</v>
      </c>
      <c r="Q12" s="32">
        <f>$F$24*$AK12</f>
        <v>3.8411385943454396E-3</v>
      </c>
      <c r="R12" s="32">
        <f>$F$25*$AK12</f>
        <v>0.10373095856624448</v>
      </c>
      <c r="S12" s="32">
        <f>$F$26*$AK12</f>
        <v>0.13950914292068048</v>
      </c>
      <c r="T12" s="32">
        <f>$F$27*$AK12</f>
        <v>2.2339253403956373E-3</v>
      </c>
      <c r="U12" s="32">
        <f>$F$28*$AK12</f>
        <v>0.12333592778659443</v>
      </c>
      <c r="V12" s="32">
        <f>$F$29*$AK12</f>
        <v>2.4969085573155157E-2</v>
      </c>
      <c r="W12" s="32">
        <f>$F$30*$AK12</f>
        <v>3.7905972970514207E-2</v>
      </c>
      <c r="X12" s="32">
        <f>$F$31*$AK12</f>
        <v>1.6847099098006316E-2</v>
      </c>
      <c r="Y12" s="32">
        <f>$F$32*$AK12</f>
        <v>3.3665558127546021E-2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I12" s="7">
        <v>0.16300000000000001</v>
      </c>
      <c r="AJ12" s="7">
        <v>0.33700000000000002</v>
      </c>
      <c r="AK12" s="33">
        <v>0.5</v>
      </c>
    </row>
    <row r="13" spans="2:37" x14ac:dyDescent="0.35">
      <c r="B13" s="2" t="s">
        <v>42</v>
      </c>
      <c r="C13" s="2" t="s">
        <v>65</v>
      </c>
      <c r="D13" s="6" t="s">
        <v>72</v>
      </c>
      <c r="E13" s="27">
        <v>0</v>
      </c>
      <c r="F13" s="27">
        <f>$F$49*AI13</f>
        <v>8.7873967128585237E-2</v>
      </c>
      <c r="G13" s="27">
        <f>$F$50*AI13</f>
        <v>0.10300045117628102</v>
      </c>
      <c r="H13" s="27">
        <f>$F$51*AI13</f>
        <v>0.10252558169513373</v>
      </c>
      <c r="I13" s="28">
        <f>$F$38*AJ13</f>
        <v>8.2456622075683036E-2</v>
      </c>
      <c r="J13" s="28">
        <f>$F$39*AJ13</f>
        <v>0.16472087386582435</v>
      </c>
      <c r="K13" s="28">
        <f>$F$40*AJ13</f>
        <v>9.3907234310307952E-2</v>
      </c>
      <c r="L13" s="28">
        <f>$F$41*AJ13</f>
        <v>0.19519171639631025</v>
      </c>
      <c r="M13" s="28">
        <f>$F$42*AJ13</f>
        <v>2.3027944577979687E-2</v>
      </c>
      <c r="N13" s="28">
        <f>$F$43*AJ13</f>
        <v>1.9814139410794962E-2</v>
      </c>
      <c r="O13" s="28">
        <f>$F$44*AJ13</f>
        <v>2.7481469363099809E-2</v>
      </c>
      <c r="P13" s="28">
        <f>$G$23*AK13</f>
        <v>0</v>
      </c>
      <c r="Q13" s="28">
        <f>$G$24*AK13</f>
        <v>0</v>
      </c>
      <c r="R13" s="28">
        <f>$G$25*$AK13</f>
        <v>0</v>
      </c>
      <c r="S13" s="28">
        <f>$G$26*$AK13</f>
        <v>0</v>
      </c>
      <c r="T13" s="28">
        <f>$G$27*$AK13</f>
        <v>0</v>
      </c>
      <c r="U13" s="28">
        <f>$G$28*$AK13</f>
        <v>0</v>
      </c>
      <c r="V13" s="28">
        <f>$G$29*$AK13</f>
        <v>0</v>
      </c>
      <c r="W13" s="28">
        <f>$G$30*$AK13</f>
        <v>0</v>
      </c>
      <c r="X13" s="28">
        <f>$G$31*$AK13</f>
        <v>0</v>
      </c>
      <c r="Y13" s="28">
        <f>$G$32*$AK13</f>
        <v>0</v>
      </c>
      <c r="Z13" s="27">
        <v>0.1</v>
      </c>
      <c r="AA13" s="27">
        <v>0</v>
      </c>
      <c r="AB13" s="27">
        <v>0</v>
      </c>
      <c r="AC13" s="27">
        <v>0</v>
      </c>
      <c r="AD13" s="27">
        <v>0</v>
      </c>
      <c r="AI13" s="7">
        <v>0.29339999999999999</v>
      </c>
      <c r="AJ13" s="7">
        <v>0.60660000000000003</v>
      </c>
      <c r="AK13" s="7">
        <v>0</v>
      </c>
    </row>
    <row r="14" spans="2:37" x14ac:dyDescent="0.35">
      <c r="B14" s="30" t="s">
        <v>44</v>
      </c>
      <c r="C14" s="30" t="s">
        <v>66</v>
      </c>
      <c r="D14" s="40" t="s">
        <v>73</v>
      </c>
      <c r="E14" s="32">
        <v>0</v>
      </c>
      <c r="F14" s="32">
        <f>$F$49*AI14</f>
        <v>6.3464531815089334E-2</v>
      </c>
      <c r="G14" s="32">
        <f>$F$50*AI14</f>
        <v>7.4389214738425191E-2</v>
      </c>
      <c r="H14" s="32">
        <f>$F$51*AI14</f>
        <v>7.404625344648548E-2</v>
      </c>
      <c r="I14" s="32">
        <f>$G$38*AJ14</f>
        <v>6.2377983470202875E-2</v>
      </c>
      <c r="J14" s="32">
        <f>$G$39*AJ14</f>
        <v>0.12461043987187433</v>
      </c>
      <c r="K14" s="32">
        <f>$G$40*AJ14</f>
        <v>7.1040308978026184E-2</v>
      </c>
      <c r="L14" s="32">
        <f>$G$41*AJ14</f>
        <v>0.14766146553655934</v>
      </c>
      <c r="M14" s="32">
        <f>$G$42*AJ14</f>
        <v>1.7420514084599874E-2</v>
      </c>
      <c r="N14" s="32">
        <f>$G$43*AJ14</f>
        <v>1.4989288058737463E-2</v>
      </c>
      <c r="O14" s="32">
        <f>$G$44*AJ14</f>
        <v>0</v>
      </c>
      <c r="P14" s="32">
        <f>$F$23*$AK14</f>
        <v>9.7728337157624821E-3</v>
      </c>
      <c r="Q14" s="32">
        <f>$F$24*$AK14</f>
        <v>2.6887970160418078E-3</v>
      </c>
      <c r="R14" s="32">
        <f>$F$25*$AK14</f>
        <v>7.2611670996371128E-2</v>
      </c>
      <c r="S14" s="32">
        <f>$F$26*$AK14</f>
        <v>9.765640004447633E-2</v>
      </c>
      <c r="T14" s="32">
        <f>$F$27*$AK14</f>
        <v>1.563747738276946E-3</v>
      </c>
      <c r="U14" s="32">
        <f>$F$28*$AK14</f>
        <v>8.63351494506161E-2</v>
      </c>
      <c r="V14" s="32">
        <f>$F$29*$AK14</f>
        <v>1.747835990120861E-2</v>
      </c>
      <c r="W14" s="32">
        <f>$F$30*$AK14</f>
        <v>2.6534181079359943E-2</v>
      </c>
      <c r="X14" s="32">
        <f>$F$31*$AK14</f>
        <v>1.179296936860442E-2</v>
      </c>
      <c r="Y14" s="32">
        <f>$F$32*$AK14</f>
        <v>2.3565890689282214E-2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I14" s="9">
        <v>0.21190000000000001</v>
      </c>
      <c r="AJ14" s="9">
        <v>0.43810000000000004</v>
      </c>
      <c r="AK14" s="34">
        <v>0.35</v>
      </c>
    </row>
    <row r="15" spans="2:37" x14ac:dyDescent="0.35">
      <c r="B15" s="35" t="s">
        <v>43</v>
      </c>
      <c r="C15" s="35" t="s">
        <v>67</v>
      </c>
      <c r="D15" s="41" t="s">
        <v>73</v>
      </c>
      <c r="E15" s="36">
        <v>0</v>
      </c>
      <c r="F15" s="36">
        <f>$F$49*AI15</f>
        <v>4.8818870626991799E-2</v>
      </c>
      <c r="G15" s="36">
        <f>$F$50*AI15</f>
        <v>5.722247287571168E-2</v>
      </c>
      <c r="H15" s="36">
        <f>$F$51*AI15</f>
        <v>5.695865649729652E-2</v>
      </c>
      <c r="I15" s="36">
        <f>$G$38*AJ15</f>
        <v>4.7983064207848362E-2</v>
      </c>
      <c r="J15" s="36">
        <f>$G$39*AJ15</f>
        <v>9.5854184516826396E-2</v>
      </c>
      <c r="K15" s="36">
        <f>$G$40*AJ15</f>
        <v>5.4646391521558604E-2</v>
      </c>
      <c r="L15" s="36">
        <f>$G$41*AJ15</f>
        <v>0.11358574272043025</v>
      </c>
      <c r="M15" s="36">
        <f>$G$42*AJ15</f>
        <v>1.340039544969221E-2</v>
      </c>
      <c r="N15" s="36">
        <f>$G$43*AJ15</f>
        <v>1.1530221583644201E-2</v>
      </c>
      <c r="O15" s="36">
        <f>$G$44*AJ15</f>
        <v>0</v>
      </c>
      <c r="P15" s="36">
        <f>$F$23*$AK15</f>
        <v>1.3961191022517833E-2</v>
      </c>
      <c r="Q15" s="36">
        <f>$F$24*$AK15</f>
        <v>3.8411385943454396E-3</v>
      </c>
      <c r="R15" s="36">
        <f>$F$25*$AK15</f>
        <v>0.10373095856624448</v>
      </c>
      <c r="S15" s="36">
        <f>$F$26*$AK15</f>
        <v>0.13950914292068048</v>
      </c>
      <c r="T15" s="36">
        <f>$F$27*$AK15</f>
        <v>2.2339253403956373E-3</v>
      </c>
      <c r="U15" s="36">
        <f>$F$28*$AK15</f>
        <v>0.12333592778659443</v>
      </c>
      <c r="V15" s="36">
        <f>$F$29*$AK15</f>
        <v>2.4969085573155157E-2</v>
      </c>
      <c r="W15" s="36">
        <f>$F$30*$AK15</f>
        <v>3.7905972970514207E-2</v>
      </c>
      <c r="X15" s="36">
        <f>$F$31*$AK15</f>
        <v>1.6847099098006316E-2</v>
      </c>
      <c r="Y15" s="36">
        <f>$F$32*$AK15</f>
        <v>3.3665558127546021E-2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I15" s="8">
        <v>0.16300000000000001</v>
      </c>
      <c r="AJ15" s="8">
        <v>0.33700000000000002</v>
      </c>
      <c r="AK15" s="37">
        <v>0.5</v>
      </c>
    </row>
    <row r="18" spans="5:12" hidden="1" x14ac:dyDescent="0.35"/>
    <row r="19" spans="5:12" hidden="1" x14ac:dyDescent="0.35">
      <c r="E19" s="1"/>
      <c r="F19" s="1"/>
      <c r="G19" s="1"/>
      <c r="H19" s="1"/>
      <c r="I19" s="1"/>
      <c r="J19" s="1"/>
      <c r="K19" s="11"/>
      <c r="L19" s="11"/>
    </row>
    <row r="20" spans="5:12" hidden="1" x14ac:dyDescent="0.35">
      <c r="E20" s="2"/>
      <c r="F20" s="2"/>
      <c r="G20" s="2"/>
      <c r="H20" s="2"/>
      <c r="I20" s="2"/>
      <c r="J20" s="2"/>
      <c r="K20" s="2"/>
      <c r="L20" s="2"/>
    </row>
    <row r="21" spans="5:12" ht="18" hidden="1" x14ac:dyDescent="0.35">
      <c r="E21" s="12"/>
      <c r="F21" s="13" t="s">
        <v>12</v>
      </c>
      <c r="G21" s="13" t="s">
        <v>13</v>
      </c>
    </row>
    <row r="22" spans="5:12" ht="18" hidden="1" x14ac:dyDescent="0.35">
      <c r="E22" s="14" t="s">
        <v>6</v>
      </c>
      <c r="F22" s="15" t="s">
        <v>7</v>
      </c>
      <c r="G22" s="15" t="s">
        <v>11</v>
      </c>
    </row>
    <row r="23" spans="5:12" hidden="1" x14ac:dyDescent="0.35">
      <c r="E23" s="16">
        <v>8287</v>
      </c>
      <c r="F23" s="17">
        <f>E23/$E$33</f>
        <v>2.7922382045035665E-2</v>
      </c>
      <c r="G23" s="17">
        <f>E23/($E$33-$E$32)</f>
        <v>2.9938151182786376E-2</v>
      </c>
    </row>
    <row r="24" spans="5:12" hidden="1" x14ac:dyDescent="0.35">
      <c r="E24" s="16">
        <v>2280</v>
      </c>
      <c r="F24" s="17">
        <f t="shared" ref="F24:F32" si="0">E24/$E$33</f>
        <v>7.6822771886908793E-3</v>
      </c>
      <c r="G24" s="17">
        <f t="shared" ref="G24:G31" si="1">E24/($E$33-$E$32)</f>
        <v>8.2368751896648891E-3</v>
      </c>
    </row>
    <row r="25" spans="5:12" hidden="1" x14ac:dyDescent="0.35">
      <c r="E25" s="16">
        <v>61572</v>
      </c>
      <c r="F25" s="17">
        <f t="shared" si="0"/>
        <v>0.20746191713248896</v>
      </c>
      <c r="G25" s="17">
        <f t="shared" si="1"/>
        <v>0.22243898209563445</v>
      </c>
    </row>
    <row r="26" spans="5:12" hidden="1" x14ac:dyDescent="0.35">
      <c r="E26" s="16">
        <v>82809</v>
      </c>
      <c r="F26" s="17">
        <f t="shared" si="0"/>
        <v>0.27901828584136096</v>
      </c>
      <c r="G26" s="17">
        <f t="shared" si="1"/>
        <v>0.29916113928989463</v>
      </c>
    </row>
    <row r="27" spans="5:12" hidden="1" x14ac:dyDescent="0.35">
      <c r="E27" s="16">
        <v>1326</v>
      </c>
      <c r="F27" s="17">
        <f t="shared" si="0"/>
        <v>4.4678506807912747E-3</v>
      </c>
      <c r="G27" s="17">
        <f t="shared" si="1"/>
        <v>4.7903932024103701E-3</v>
      </c>
    </row>
    <row r="28" spans="5:12" hidden="1" x14ac:dyDescent="0.35">
      <c r="E28" s="16">
        <v>73209</v>
      </c>
      <c r="F28" s="17">
        <f t="shared" si="0"/>
        <v>0.24667185557318885</v>
      </c>
      <c r="G28" s="17">
        <f t="shared" si="1"/>
        <v>0.2644795595439372</v>
      </c>
    </row>
    <row r="29" spans="5:12" hidden="1" x14ac:dyDescent="0.35">
      <c r="E29" s="16">
        <v>14821</v>
      </c>
      <c r="F29" s="17">
        <f t="shared" si="0"/>
        <v>4.9938171146310315E-2</v>
      </c>
      <c r="G29" s="17">
        <f t="shared" si="1"/>
        <v>5.3543301397378652E-2</v>
      </c>
    </row>
    <row r="30" spans="5:12" hidden="1" x14ac:dyDescent="0.35">
      <c r="E30" s="16">
        <v>22500</v>
      </c>
      <c r="F30" s="17">
        <f t="shared" si="0"/>
        <v>7.5811945941028414E-2</v>
      </c>
      <c r="G30" s="17">
        <f t="shared" si="1"/>
        <v>8.1284952529587728E-2</v>
      </c>
    </row>
    <row r="31" spans="5:12" hidden="1" x14ac:dyDescent="0.35">
      <c r="E31" s="16">
        <v>10000</v>
      </c>
      <c r="F31" s="17">
        <f t="shared" si="0"/>
        <v>3.3694198196012631E-2</v>
      </c>
      <c r="G31" s="17">
        <f t="shared" si="1"/>
        <v>3.6126645568705658E-2</v>
      </c>
    </row>
    <row r="32" spans="5:12" hidden="1" x14ac:dyDescent="0.35">
      <c r="E32" s="18">
        <v>19983</v>
      </c>
      <c r="F32" s="19">
        <f t="shared" si="0"/>
        <v>6.7331116255092041E-2</v>
      </c>
      <c r="G32" s="20">
        <v>0</v>
      </c>
    </row>
    <row r="33" spans="5:7" hidden="1" x14ac:dyDescent="0.35">
      <c r="E33" s="21">
        <f>SUM(E23:E32)</f>
        <v>296787</v>
      </c>
      <c r="F33" s="22">
        <f>SUM(F23:F32)</f>
        <v>0.99999999999999978</v>
      </c>
      <c r="G33" s="22">
        <f>SUM(G23:G32)</f>
        <v>1</v>
      </c>
    </row>
    <row r="34" spans="5:7" hidden="1" x14ac:dyDescent="0.35">
      <c r="E34" s="16"/>
      <c r="F34" s="17"/>
      <c r="G34" s="2"/>
    </row>
    <row r="35" spans="5:7" hidden="1" x14ac:dyDescent="0.35">
      <c r="E35" s="2"/>
      <c r="F35" s="2"/>
      <c r="G35" s="2"/>
    </row>
    <row r="36" spans="5:7" ht="18" hidden="1" x14ac:dyDescent="0.35">
      <c r="E36" s="12"/>
      <c r="F36" s="13" t="s">
        <v>13</v>
      </c>
      <c r="G36" s="13" t="s">
        <v>12</v>
      </c>
    </row>
    <row r="37" spans="5:7" ht="18" hidden="1" x14ac:dyDescent="0.35">
      <c r="E37" s="14" t="s">
        <v>6</v>
      </c>
      <c r="F37" s="15" t="s">
        <v>7</v>
      </c>
      <c r="G37" s="15" t="s">
        <v>7</v>
      </c>
    </row>
    <row r="38" spans="5:7" hidden="1" x14ac:dyDescent="0.35">
      <c r="E38" s="23">
        <v>54008</v>
      </c>
      <c r="F38" s="25">
        <f>E38/$E$45</f>
        <v>0.13593244654744976</v>
      </c>
      <c r="G38" s="25">
        <f>E38/($E$45-$E$44)</f>
        <v>0.14238297984524736</v>
      </c>
    </row>
    <row r="39" spans="5:7" hidden="1" x14ac:dyDescent="0.35">
      <c r="E39" s="24">
        <v>107890</v>
      </c>
      <c r="F39" s="25">
        <f t="shared" ref="F39:F44" si="2">E39/$E$45</f>
        <v>0.27154776436832234</v>
      </c>
      <c r="G39" s="25">
        <f t="shared" ref="G39:G43" si="3">E39/($E$45-$E$44)</f>
        <v>0.28443378194903973</v>
      </c>
    </row>
    <row r="40" spans="5:7" hidden="1" x14ac:dyDescent="0.35">
      <c r="E40" s="24">
        <v>61508</v>
      </c>
      <c r="F40" s="25">
        <f t="shared" si="2"/>
        <v>0.15480915646275625</v>
      </c>
      <c r="G40" s="25">
        <f t="shared" si="3"/>
        <v>0.16215546445566351</v>
      </c>
    </row>
    <row r="41" spans="5:7" hidden="1" x14ac:dyDescent="0.35">
      <c r="E41" s="24">
        <v>127848</v>
      </c>
      <c r="F41" s="25">
        <f t="shared" si="2"/>
        <v>0.32177994790028064</v>
      </c>
      <c r="G41" s="25">
        <f t="shared" si="3"/>
        <v>0.33704968166299776</v>
      </c>
    </row>
    <row r="42" spans="5:7" hidden="1" x14ac:dyDescent="0.35">
      <c r="E42" s="24">
        <v>15083</v>
      </c>
      <c r="F42" s="25">
        <f t="shared" si="2"/>
        <v>3.7962322087009046E-2</v>
      </c>
      <c r="G42" s="25">
        <f t="shared" si="3"/>
        <v>3.9763784717187563E-2</v>
      </c>
    </row>
    <row r="43" spans="5:7" hidden="1" x14ac:dyDescent="0.35">
      <c r="E43" s="24">
        <v>12978</v>
      </c>
      <c r="F43" s="25">
        <f t="shared" si="2"/>
        <v>3.2664258837446357E-2</v>
      </c>
      <c r="G43" s="25">
        <f t="shared" si="3"/>
        <v>3.4214307369864097E-2</v>
      </c>
    </row>
    <row r="44" spans="5:7" hidden="1" x14ac:dyDescent="0.35">
      <c r="E44" s="18">
        <v>18000</v>
      </c>
      <c r="F44" s="19">
        <f t="shared" si="2"/>
        <v>4.5304103796735586E-2</v>
      </c>
      <c r="G44" s="20">
        <v>0</v>
      </c>
    </row>
    <row r="45" spans="5:7" hidden="1" x14ac:dyDescent="0.35">
      <c r="E45" s="21">
        <f>SUM(E38:E44)</f>
        <v>397315</v>
      </c>
      <c r="F45" s="22">
        <f>SUM(F38:F44)</f>
        <v>1</v>
      </c>
      <c r="G45" s="22">
        <f>SUM(G38:G44)</f>
        <v>1</v>
      </c>
    </row>
    <row r="46" spans="5:7" hidden="1" x14ac:dyDescent="0.35">
      <c r="E46" s="2"/>
      <c r="F46" s="2"/>
      <c r="G46" s="2"/>
    </row>
    <row r="47" spans="5:7" ht="18" hidden="1" x14ac:dyDescent="0.35">
      <c r="E47" s="12"/>
      <c r="F47" s="13"/>
    </row>
    <row r="48" spans="5:7" ht="18" hidden="1" x14ac:dyDescent="0.35">
      <c r="E48" s="14" t="s">
        <v>6</v>
      </c>
      <c r="F48" s="15" t="s">
        <v>7</v>
      </c>
    </row>
    <row r="49" spans="5:37" hidden="1" x14ac:dyDescent="0.35">
      <c r="E49" s="23">
        <v>41821</v>
      </c>
      <c r="F49" s="25">
        <f>E49/$E$52</f>
        <v>0.29950227378522576</v>
      </c>
    </row>
    <row r="50" spans="5:37" hidden="1" x14ac:dyDescent="0.35">
      <c r="E50" s="24">
        <v>49020</v>
      </c>
      <c r="F50" s="25">
        <f t="shared" ref="F50:F51" si="4">E50/$E$52</f>
        <v>0.35105811580191215</v>
      </c>
    </row>
    <row r="51" spans="5:37" hidden="1" x14ac:dyDescent="0.35">
      <c r="E51" s="18">
        <v>48794</v>
      </c>
      <c r="F51" s="19">
        <f t="shared" si="4"/>
        <v>0.34943961041286209</v>
      </c>
    </row>
    <row r="52" spans="5:37" hidden="1" x14ac:dyDescent="0.35">
      <c r="E52" s="21">
        <f t="shared" ref="E52:F52" si="5">SUM(E49:E51)</f>
        <v>139635</v>
      </c>
      <c r="F52" s="22">
        <f t="shared" si="5"/>
        <v>1</v>
      </c>
    </row>
    <row r="53" spans="5:37" hidden="1" x14ac:dyDescent="0.35">
      <c r="E53" s="21"/>
      <c r="F53" s="22"/>
    </row>
    <row r="54" spans="5:37" hidden="1" x14ac:dyDescent="0.35">
      <c r="E54" s="10"/>
      <c r="F54" s="10"/>
      <c r="G54" s="10"/>
      <c r="H54" s="10"/>
      <c r="I54" s="10"/>
    </row>
    <row r="55" spans="5:37" hidden="1" x14ac:dyDescent="0.35">
      <c r="E55" s="26">
        <v>0.46300000000000002</v>
      </c>
      <c r="F55" s="2"/>
      <c r="G55" s="2"/>
      <c r="H55" s="2"/>
    </row>
    <row r="56" spans="5:37" hidden="1" x14ac:dyDescent="0.35">
      <c r="E56" s="26">
        <v>0.33700000000000002</v>
      </c>
      <c r="F56" s="2"/>
      <c r="G56" s="2"/>
      <c r="H56" s="2"/>
    </row>
    <row r="57" spans="5:37" hidden="1" x14ac:dyDescent="0.35">
      <c r="E57" s="26">
        <v>0.2</v>
      </c>
      <c r="F57" s="2"/>
      <c r="G57" s="2"/>
      <c r="H57" s="2"/>
    </row>
    <row r="58" spans="5:37" hidden="1" x14ac:dyDescent="0.35">
      <c r="E58" s="2"/>
      <c r="F58" s="2"/>
      <c r="G58" s="2"/>
      <c r="H58" s="2"/>
      <c r="I58" s="2"/>
    </row>
    <row r="59" spans="5:37" hidden="1" x14ac:dyDescent="0.35">
      <c r="E59" s="2"/>
      <c r="F59" s="2"/>
      <c r="G59" s="2"/>
      <c r="H59" s="2"/>
      <c r="I59" s="2"/>
    </row>
    <row r="60" spans="5:37" hidden="1" x14ac:dyDescent="0.35">
      <c r="E60" s="2"/>
      <c r="F60" s="2"/>
      <c r="G60" s="2"/>
      <c r="H60" s="2"/>
      <c r="I60" s="2"/>
      <c r="J60" s="2"/>
      <c r="K60" s="2"/>
      <c r="L60" s="2"/>
    </row>
    <row r="61" spans="5:37" hidden="1" x14ac:dyDescent="0.35">
      <c r="E61" s="2"/>
      <c r="F61" s="2"/>
      <c r="G61" s="2"/>
      <c r="H61" s="2"/>
      <c r="I61" s="2"/>
      <c r="J61" s="2"/>
      <c r="K61" s="2"/>
      <c r="L61" s="2"/>
    </row>
    <row r="62" spans="5:37" hidden="1" x14ac:dyDescent="0.3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5:37" hidden="1" x14ac:dyDescent="0.3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5:37" hidden="1" x14ac:dyDescent="0.35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2:37" x14ac:dyDescent="0.35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8" spans="2:37" ht="17.5" x14ac:dyDescent="0.35">
      <c r="B68" s="4" t="s">
        <v>53</v>
      </c>
      <c r="C68" s="4" t="s">
        <v>54</v>
      </c>
      <c r="D68" s="42"/>
    </row>
    <row r="69" spans="2:37" x14ac:dyDescent="0.35">
      <c r="B69" s="39" cm="1">
        <f t="array" ref="B69:B94">TRANSPOSE(E1:AD1)</f>
        <v>2010</v>
      </c>
      <c r="C69" t="s">
        <v>15</v>
      </c>
    </row>
    <row r="70" spans="2:37" x14ac:dyDescent="0.35">
      <c r="B70" s="39">
        <v>3610</v>
      </c>
      <c r="C70" t="s">
        <v>16</v>
      </c>
    </row>
    <row r="71" spans="2:37" x14ac:dyDescent="0.35">
      <c r="B71" s="39">
        <v>3620</v>
      </c>
      <c r="C71" t="s">
        <v>17</v>
      </c>
    </row>
    <row r="72" spans="2:37" x14ac:dyDescent="0.35">
      <c r="B72" s="39">
        <v>3640</v>
      </c>
      <c r="C72" t="s">
        <v>18</v>
      </c>
    </row>
    <row r="73" spans="2:37" x14ac:dyDescent="0.35">
      <c r="B73" s="39">
        <v>4050</v>
      </c>
      <c r="C73" t="s">
        <v>19</v>
      </c>
    </row>
    <row r="74" spans="2:37" x14ac:dyDescent="0.35">
      <c r="B74" s="39">
        <v>4060</v>
      </c>
      <c r="C74" t="s">
        <v>20</v>
      </c>
    </row>
    <row r="75" spans="2:37" x14ac:dyDescent="0.35">
      <c r="B75" s="39">
        <v>4070</v>
      </c>
      <c r="C75" t="s">
        <v>21</v>
      </c>
    </row>
    <row r="76" spans="2:37" x14ac:dyDescent="0.35">
      <c r="B76" s="39">
        <v>4080</v>
      </c>
      <c r="C76" t="s">
        <v>22</v>
      </c>
    </row>
    <row r="77" spans="2:37" x14ac:dyDescent="0.35">
      <c r="B77" s="39" t="str">
        <v>40A0</v>
      </c>
      <c r="C77" t="s">
        <v>23</v>
      </c>
    </row>
    <row r="78" spans="2:37" x14ac:dyDescent="0.35">
      <c r="B78" s="39" t="str">
        <v>40B0</v>
      </c>
      <c r="C78" t="s">
        <v>24</v>
      </c>
    </row>
    <row r="79" spans="2:37" x14ac:dyDescent="0.35">
      <c r="B79" s="39" t="str">
        <v>40C0</v>
      </c>
      <c r="C79" t="s">
        <v>25</v>
      </c>
    </row>
    <row r="80" spans="2:37" x14ac:dyDescent="0.35">
      <c r="B80" s="39">
        <v>1100</v>
      </c>
      <c r="C80" t="s">
        <v>26</v>
      </c>
    </row>
    <row r="81" spans="2:3" x14ac:dyDescent="0.35">
      <c r="B81" s="39">
        <v>1500</v>
      </c>
      <c r="C81" t="s">
        <v>4</v>
      </c>
    </row>
    <row r="82" spans="2:3" x14ac:dyDescent="0.35">
      <c r="B82" s="39">
        <v>2300</v>
      </c>
      <c r="C82" t="s">
        <v>27</v>
      </c>
    </row>
    <row r="83" spans="2:3" x14ac:dyDescent="0.35">
      <c r="B83" s="39">
        <v>4500</v>
      </c>
      <c r="C83" t="s">
        <v>28</v>
      </c>
    </row>
    <row r="84" spans="2:3" x14ac:dyDescent="0.35">
      <c r="B84" s="39">
        <v>5600</v>
      </c>
      <c r="C84" t="s">
        <v>29</v>
      </c>
    </row>
    <row r="85" spans="2:3" x14ac:dyDescent="0.35">
      <c r="B85" s="39">
        <v>7010</v>
      </c>
      <c r="C85" t="s">
        <v>30</v>
      </c>
    </row>
    <row r="86" spans="2:3" x14ac:dyDescent="0.35">
      <c r="B86" s="39">
        <v>7200</v>
      </c>
      <c r="C86" t="s">
        <v>31</v>
      </c>
    </row>
    <row r="87" spans="2:3" x14ac:dyDescent="0.35">
      <c r="B87" s="39">
        <v>7300</v>
      </c>
      <c r="C87" t="s">
        <v>32</v>
      </c>
    </row>
    <row r="88" spans="2:3" x14ac:dyDescent="0.35">
      <c r="B88" s="39">
        <v>8200</v>
      </c>
      <c r="C88" t="s">
        <v>33</v>
      </c>
    </row>
    <row r="89" spans="2:3" x14ac:dyDescent="0.35">
      <c r="B89" s="39">
        <v>9510</v>
      </c>
      <c r="C89" t="s">
        <v>34</v>
      </c>
    </row>
    <row r="90" spans="2:3" x14ac:dyDescent="0.35">
      <c r="B90" s="39">
        <v>4900</v>
      </c>
      <c r="C90" t="s">
        <v>35</v>
      </c>
    </row>
    <row r="91" spans="2:3" x14ac:dyDescent="0.35">
      <c r="B91" s="39" t="str">
        <v>Marketing</v>
      </c>
      <c r="C91" t="s">
        <v>5</v>
      </c>
    </row>
    <row r="92" spans="2:3" x14ac:dyDescent="0.35">
      <c r="B92" s="39" t="str">
        <v>0800</v>
      </c>
      <c r="C92" t="s">
        <v>36</v>
      </c>
    </row>
    <row r="93" spans="2:3" x14ac:dyDescent="0.35">
      <c r="B93" s="39" t="str">
        <v>Middeltown</v>
      </c>
      <c r="C93" t="s">
        <v>37</v>
      </c>
    </row>
    <row r="94" spans="2:3" x14ac:dyDescent="0.35">
      <c r="B94" s="39" t="str">
        <v>Eastwick</v>
      </c>
      <c r="C94" t="s">
        <v>38</v>
      </c>
    </row>
  </sheetData>
  <phoneticPr fontId="5" type="noConversion"/>
  <conditionalFormatting sqref="B2:B15">
    <cfRule type="cellIs" dxfId="2" priority="2" operator="equal">
      <formula>0</formula>
    </cfRule>
  </conditionalFormatting>
  <conditionalFormatting sqref="E2:AD15 AI2:AK15">
    <cfRule type="cellIs" dxfId="1" priority="3" operator="equal">
      <formula>0</formula>
    </cfRule>
  </conditionalFormatting>
  <conditionalFormatting sqref="C2:D15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a51aef5a9874e8330807ea08ce1bcdcd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a66b4b197bc76c681623a7287e85f302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BFF8F-ABD6-46D3-AC4D-B5BC5EBA7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F76FCF-63B2-4FAB-9AC4-3D16EAD4F33E}">
  <ds:schemaRefs>
    <ds:schemaRef ds:uri="http://schemas.microsoft.com/office/2006/metadata/properties"/>
    <ds:schemaRef ds:uri="http://schemas.microsoft.com/office/infopath/2007/PartnerControls"/>
    <ds:schemaRef ds:uri="d8bb4864-1f15-4dbc-8993-a0057cbdf711"/>
    <ds:schemaRef ds:uri="af706855-280e-40fa-beb9-81c9773b0c79"/>
  </ds:schemaRefs>
</ds:datastoreItem>
</file>

<file path=customXml/itemProps3.xml><?xml version="1.0" encoding="utf-8"?>
<ds:datastoreItem xmlns:ds="http://schemas.openxmlformats.org/officeDocument/2006/customXml" ds:itemID="{886E3752-C8F9-4746-B487-3495F8E25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Winig</dc:creator>
  <cp:lastModifiedBy>Drew Winig</cp:lastModifiedBy>
  <dcterms:created xsi:type="dcterms:W3CDTF">2026-02-26T14:09:17Z</dcterms:created>
  <dcterms:modified xsi:type="dcterms:W3CDTF">2026-02-27T18:45:17Z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